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000000"/>
    </font>
  </fonts>
  <fills count="6">
    <fill>
      <patternFill/>
    </fill>
    <fill>
      <patternFill patternType="gray125"/>
    </fill>
    <fill>
      <patternFill patternType="solid">
        <fgColor rgb="00FF0000"/>
        <bgColor rgb="00FF0000"/>
      </patternFill>
    </fill>
    <fill>
      <patternFill patternType="solid">
        <fgColor rgb="00FFA500"/>
        <bgColor rgb="00FFA500"/>
      </patternFill>
    </fill>
    <fill>
      <patternFill patternType="solid">
        <fgColor rgb="008B0000"/>
        <bgColor rgb="008B0000"/>
      </patternFill>
    </fill>
    <fill>
      <patternFill patternType="solid">
        <fgColor rgb="00FFFF00"/>
        <bgColor rgb="00FFFF0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xf numFmtId="0" fontId="2" fillId="2" borderId="0" pivotButton="0" quotePrefix="0" xfId="0"/>
    <xf numFmtId="0" fontId="3" fillId="3" borderId="0" pivotButton="0" quotePrefix="0" xfId="0"/>
    <xf numFmtId="0" fontId="2" fillId="4"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2"/>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34" customWidth="1" min="3" max="3"/>
    <col width="29" customWidth="1" min="4" max="4"/>
    <col width="60" customWidth="1" min="5" max="5"/>
    <col width="9" customWidth="1" min="6" max="6"/>
    <col width="10" customWidth="1" min="7" max="7"/>
    <col width="29" customWidth="1" min="8" max="8"/>
    <col width="11" customWidth="1" min="9" max="9"/>
    <col width="9" customWidth="1" min="10" max="10"/>
    <col width="60" customWidth="1" min="11" max="11"/>
    <col width="8" customWidth="1" min="12" max="12"/>
    <col width="27" customWidth="1" min="13" max="13"/>
  </cols>
  <sheetData>
    <row r="1">
      <c r="A1" s="1" t="inlineStr">
        <is>
          <t>No</t>
        </is>
      </c>
      <c r="B1" s="1" t="inlineStr">
        <is>
          <t>오픈소스 컴포넌트명
(Component name)</t>
        </is>
      </c>
      <c r="C1" s="1" t="inlineStr">
        <is>
          <t>컴포넌트 버전
(Component version name)</t>
        </is>
      </c>
      <c r="D1" s="1" t="inlineStr">
        <is>
          <t>보안취약점 ID
(Vulnerability id)</t>
        </is>
      </c>
      <c r="E1" s="1" t="inlineStr">
        <is>
          <t>보안취약점 설명
(Description)</t>
        </is>
      </c>
      <c r="F1" s="1" t="inlineStr">
        <is>
          <t>CVSS 점수</t>
        </is>
      </c>
      <c r="G1" s="1" t="inlineStr">
        <is>
          <t>심각도</t>
        </is>
      </c>
      <c r="H1" s="1" t="inlineStr">
        <is>
          <t>영향 버전 범위</t>
        </is>
      </c>
      <c r="I1" s="1" t="inlineStr">
        <is>
          <t>해결 가까운 버전</t>
        </is>
      </c>
      <c r="J1" s="1" t="inlineStr">
        <is>
          <t>최신 버전</t>
        </is>
      </c>
      <c r="K1" s="1" t="inlineStr">
        <is>
          <t>비고</t>
        </is>
      </c>
      <c r="L1" s="1" t="inlineStr">
        <is>
          <t>근거 소스</t>
        </is>
      </c>
      <c r="M1" s="1" t="inlineStr">
        <is>
          <t>조회일시</t>
        </is>
      </c>
    </row>
    <row r="2">
      <c r="A2" t="inlineStr">
        <is>
          <t>1</t>
        </is>
      </c>
      <c r="B2" t="inlineStr">
        <is>
          <t>Apache Commons Compress</t>
        </is>
      </c>
      <c r="C2" t="inlineStr">
        <is>
          <t>1.4.1</t>
        </is>
      </c>
      <c r="D2" t="inlineStr">
        <is>
          <t>CVE-2021-35515</t>
        </is>
      </c>
      <c r="E2" s="2" t="inlineStr">
        <is>
          <t>When reading a specially crafted 7Z archive, the construction of the list of codecs that decompress an entry can result in an infinite loop. This could be used to mount a denial of service attack against services that use Compress' sevenz package.</t>
        </is>
      </c>
      <c r="F2" t="n">
        <v>7.5</v>
      </c>
      <c r="G2" s="3" t="inlineStr">
        <is>
          <t>HIGH</t>
        </is>
      </c>
      <c r="H2" s="2">
        <f>1.4.1; &lt;1.21</f>
        <v/>
      </c>
      <c r="I2" t="inlineStr">
        <is>
          <t>1.26.0</t>
        </is>
      </c>
      <c r="J2" t="inlineStr">
        <is>
          <t>1.28.0</t>
        </is>
      </c>
      <c r="K2" s="2" t="inlineStr">
        <is>
          <t>브랜치 변경</t>
        </is>
      </c>
      <c r="L2" t="inlineStr">
        <is>
          <t>OSV</t>
        </is>
      </c>
      <c r="M2" t="inlineStr">
        <is>
          <t>2026-10-10T15:04:38+09:00</t>
        </is>
      </c>
    </row>
    <row r="3">
      <c r="A3" t="inlineStr">
        <is>
          <t>1</t>
        </is>
      </c>
      <c r="B3" t="inlineStr">
        <is>
          <t>Apache Commons Compress</t>
        </is>
      </c>
      <c r="C3" t="inlineStr">
        <is>
          <t>1.4.1</t>
        </is>
      </c>
      <c r="D3" t="inlineStr">
        <is>
          <t>CVE-2021-35516</t>
        </is>
      </c>
      <c r="E3" s="2" t="inlineStr">
        <is>
          <t>When reading a specially crafted 7Z archive, Compress can be made to allocate large amounts of memory that finally leads to an out of memory error even for very small inputs. This could be used to mount a denial of service attack against services that use Compress' sevenz package.</t>
        </is>
      </c>
      <c r="F3" t="n">
        <v>7.5</v>
      </c>
      <c r="G3" s="3" t="inlineStr">
        <is>
          <t>HIGH</t>
        </is>
      </c>
      <c r="H3" s="2">
        <f>1.4.1; &lt;1.21</f>
        <v/>
      </c>
      <c r="I3" t="inlineStr">
        <is>
          <t>1.26.0</t>
        </is>
      </c>
      <c r="J3" t="inlineStr">
        <is>
          <t>1.28.0</t>
        </is>
      </c>
      <c r="K3" s="2" t="inlineStr">
        <is>
          <t>브랜치 변경</t>
        </is>
      </c>
      <c r="L3" t="inlineStr">
        <is>
          <t>OSV</t>
        </is>
      </c>
      <c r="M3" t="inlineStr">
        <is>
          <t>2026-10-10T15:04:38+09:00</t>
        </is>
      </c>
    </row>
    <row r="4">
      <c r="A4" t="inlineStr">
        <is>
          <t>1</t>
        </is>
      </c>
      <c r="B4" t="inlineStr">
        <is>
          <t>Apache Commons Compress</t>
        </is>
      </c>
      <c r="C4" t="inlineStr">
        <is>
          <t>1.4.1</t>
        </is>
      </c>
      <c r="D4" t="inlineStr">
        <is>
          <t>CVE-2021-35517</t>
        </is>
      </c>
      <c r="E4" s="2" t="inlineStr">
        <is>
          <t>When reading a specially crafted TAR archive, Compress can be made to allocate large amounts of memory that finally leads to an out of memory error even for very small inputs. This could be used to mount a denial of service attack against services that use Compress' tar package.</t>
        </is>
      </c>
      <c r="F4" t="n">
        <v>7.5</v>
      </c>
      <c r="G4" s="3" t="inlineStr">
        <is>
          <t>HIGH</t>
        </is>
      </c>
      <c r="H4" s="2">
        <f>1.4.1; &lt;1.21</f>
        <v/>
      </c>
      <c r="I4" t="inlineStr">
        <is>
          <t>1.26.0</t>
        </is>
      </c>
      <c r="J4" t="inlineStr">
        <is>
          <t>1.28.0</t>
        </is>
      </c>
      <c r="K4" s="2" t="inlineStr">
        <is>
          <t>브랜치 변경</t>
        </is>
      </c>
      <c r="L4" t="inlineStr">
        <is>
          <t>OSV</t>
        </is>
      </c>
      <c r="M4" t="inlineStr">
        <is>
          <t>2026-10-10T15:04:38+09:00</t>
        </is>
      </c>
    </row>
    <row r="5">
      <c r="A5" t="inlineStr">
        <is>
          <t>1</t>
        </is>
      </c>
      <c r="B5" t="inlineStr">
        <is>
          <t>Apache Commons Compress</t>
        </is>
      </c>
      <c r="C5" t="inlineStr">
        <is>
          <t>1.4.1</t>
        </is>
      </c>
      <c r="D5" t="inlineStr">
        <is>
          <t>CVE-2021-36090</t>
        </is>
      </c>
      <c r="E5" s="2" t="inlineStr">
        <is>
          <t>When reading a specially crafted ZIP archive, Compress can be made to allocate large amounts of memory that finally leads to an out of memory error even for very small inputs. This could be used to mount a denial of service attack against services that use Compress' zip package.</t>
        </is>
      </c>
      <c r="F5" t="n">
        <v>7.5</v>
      </c>
      <c r="G5" s="3" t="inlineStr">
        <is>
          <t>HIGH</t>
        </is>
      </c>
      <c r="H5" s="2">
        <f>1.4.1; &lt;1.21</f>
        <v/>
      </c>
      <c r="I5" t="inlineStr">
        <is>
          <t>1.26.0</t>
        </is>
      </c>
      <c r="J5" t="inlineStr">
        <is>
          <t>1.28.0</t>
        </is>
      </c>
      <c r="K5" s="2" t="inlineStr">
        <is>
          <t>브랜치 변경</t>
        </is>
      </c>
      <c r="L5" t="inlineStr">
        <is>
          <t>OSV</t>
        </is>
      </c>
      <c r="M5" t="inlineStr">
        <is>
          <t>2026-10-10T15:04:38+09:00</t>
        </is>
      </c>
    </row>
    <row r="6">
      <c r="A6" t="inlineStr">
        <is>
          <t>1</t>
        </is>
      </c>
      <c r="B6" t="inlineStr">
        <is>
          <t>Apache Commons Compress</t>
        </is>
      </c>
      <c r="C6" t="inlineStr">
        <is>
          <t>1.4.1</t>
        </is>
      </c>
      <c r="D6" t="inlineStr">
        <is>
          <t>CVE-2024-25710</t>
        </is>
      </c>
      <c r="E6" s="2" t="inlineStr">
        <is>
          <t>Loop with Unreachable Exit Condition ('Infinite Loop') vulnerability in Apache Commons Compress. This issue affects Apache Commons Compress: from 1.3 through 1.25.0.
Users are recommended to upgrade to version 1.26.0 which fixes the issue.</t>
        </is>
      </c>
      <c r="F6" t="n">
        <v>5.5</v>
      </c>
      <c r="G6" s="4" t="inlineStr">
        <is>
          <t>MEDIUM</t>
        </is>
      </c>
      <c r="H6" s="2">
        <f>1.4.1; &gt;=1.3, &lt;1.26.0</f>
        <v/>
      </c>
      <c r="I6" t="inlineStr">
        <is>
          <t>1.26.0</t>
        </is>
      </c>
      <c r="J6" t="inlineStr">
        <is>
          <t>1.28.0</t>
        </is>
      </c>
      <c r="K6" s="2" t="inlineStr">
        <is>
          <t>브랜치 변경</t>
        </is>
      </c>
      <c r="L6" t="inlineStr">
        <is>
          <t>OSV</t>
        </is>
      </c>
      <c r="M6" t="inlineStr">
        <is>
          <t>2026-10-10T15:04:38+09:00</t>
        </is>
      </c>
    </row>
    <row r="7">
      <c r="A7" t="inlineStr">
        <is>
          <t>13</t>
        </is>
      </c>
      <c r="B7" t="inlineStr">
        <is>
          <t>Apache MINA</t>
        </is>
      </c>
      <c r="C7" t="inlineStr">
        <is>
          <t>2.1.6</t>
        </is>
      </c>
      <c r="D7" t="inlineStr">
        <is>
          <t>CVE-2024-52046</t>
        </is>
      </c>
      <c r="E7" s="2" t="inlineStr">
        <is>
          <t>The `ObjectSerializationDecoder` in Apache MINA uses Java’s native deserialization protocol to process incoming serialized data but lacks the necessary security checks and defenses. This vulnerability allows attackers to exploit the deserialization process by sending specially crafted malicious serialized data, potentially leading to remote code execution (RCE) attacks.
This issue affects MINA core versions 2.0.X, 2.1.X and 2.2.X, and will be fixed by the releases 2.0.27, 2.1.10 and 2.2.4.
It's also important to note that an application using MINA core library will only be affected if the IoBuffer#getObject() method is called, and this specific method is potentially called when adding a ProtocolCodecFilter instance using the `ObjectSerializationCodecFactory` class in the filter chain. If your application is specifically using those classes, you have to upgrade to the latest version of MINA core library.
Upgrading will  not be enough: you also need to explicitly allow the classes the decoder will accept in the ObjectSerializationDecoder instance, using one of the three new methods:
1. 
     * Accept class names where the supplied ClassNameMatcher matches for deserialization, unless they are otherwise rejected.
     * `@param classNameMatcher` the matcher to use
     * / `public void accept(ClassNameMatcher classNameMatcher)`
2. 
     * Accept class names that match the supplied pattern for deserialization, unless they are otherwise rejected.
     * `@param` pattern standard Java regexp
     * / `public void accept(Pattern pattern)`
3.
     * Accept the wildcard specified classes for deserialization, unless they are otherwise rejected.
     * `@param` patterns Wildcard file name patterns as defined by `{@link org.apache.commons.io.FilenameUtils#wildcardMatch(String, String) FilenameUtils.wildcardMatch}`
     * / `public void accept(String... patterns)`
By default, the decoder will reject *all* classes that will be present in the incoming data.
Note: The FtpServer, SSHd and Vysper sub-project are not affected by this issue.</t>
        </is>
      </c>
      <c r="F7" t="n">
        <v>9.800000000000001</v>
      </c>
      <c r="G7" s="5" t="inlineStr">
        <is>
          <t>CRITICAL</t>
        </is>
      </c>
      <c r="H7" s="2">
        <f>2.1.6; &gt;=2.1.0, &lt;2.1.10</f>
        <v/>
      </c>
      <c r="I7" t="inlineStr">
        <is>
          <t>2.1.13</t>
        </is>
      </c>
      <c r="J7" t="inlineStr">
        <is>
          <t>2.2.9</t>
        </is>
      </c>
      <c r="K7" s="2" t="inlineStr"/>
      <c r="L7" t="inlineStr">
        <is>
          <t>OSV</t>
        </is>
      </c>
      <c r="M7" t="inlineStr">
        <is>
          <t>2026-10-10T15:04:38+09:00</t>
        </is>
      </c>
    </row>
    <row r="8">
      <c r="A8" t="inlineStr">
        <is>
          <t>13</t>
        </is>
      </c>
      <c r="B8" t="inlineStr">
        <is>
          <t>Apache MINA</t>
        </is>
      </c>
      <c r="C8" t="inlineStr">
        <is>
          <t>2.1.6</t>
        </is>
      </c>
      <c r="D8" t="inlineStr">
        <is>
          <t>CVE-2026-41409</t>
        </is>
      </c>
      <c r="E8" s="2" t="inlineStr">
        <is>
          <t>The fix for CVE-2024-52046 in Apache MINA AbstractIoBuffer.getObject() was incomplete. The classname allowlist of classes allowed to be deserialized was applied too late after a static initializer in a class to be read might already have been executed.
Affected versions are Apache MINA 2.0.0 &lt;= 2.0.27, 2.1.0 &lt;= 2.1.10, and 2.2.0 &lt;= 2.2.5.
The problem is resolved in Apache MINA 2.0.28, 2.1.11, and 2.2.6 by  applying the classname allowlist earlier.
Affected are applications using Apache MINA that call IoBuffer.getObject().
Applications using Apache MINA are advised to upgrade</t>
        </is>
      </c>
      <c r="F8" t="n">
        <v>9.800000000000001</v>
      </c>
      <c r="G8" s="5" t="inlineStr">
        <is>
          <t>CRITICAL</t>
        </is>
      </c>
      <c r="H8" s="2">
        <f>2.1.6; &gt;=2.1.0, &lt;2.1.11</f>
        <v/>
      </c>
      <c r="I8" t="inlineStr">
        <is>
          <t>2.1.13</t>
        </is>
      </c>
      <c r="J8" t="inlineStr">
        <is>
          <t>2.2.9</t>
        </is>
      </c>
      <c r="K8" s="2" t="inlineStr"/>
      <c r="L8" t="inlineStr">
        <is>
          <t>OSV</t>
        </is>
      </c>
      <c r="M8" t="inlineStr">
        <is>
          <t>2026-10-10T15:04:38+09:00</t>
        </is>
      </c>
    </row>
    <row r="9">
      <c r="A9" t="inlineStr">
        <is>
          <t>13</t>
        </is>
      </c>
      <c r="B9" t="inlineStr">
        <is>
          <t>Apache MINA</t>
        </is>
      </c>
      <c r="C9" t="inlineStr">
        <is>
          <t>2.1.6</t>
        </is>
      </c>
      <c r="D9" t="inlineStr">
        <is>
          <t>CVE-2026-41635</t>
        </is>
      </c>
      <c r="E9" s="2" t="inlineStr">
        <is>
          <t>Apache MINA's AbstractIoBuffer.resolveClass() contains two branches, one of them (for static classes or primitive types) does not check the class at all, bypassing the classname allowlist and allowing arbitrary code to be executed.
The fix checks if the class is present in the accepted class filter before calling Class.forName(). 
Affected versions are Apache MINA 2.0.0 &lt;= 2.0.27, 2.1.0 &lt;= 2.1.10, and 2.2.0 &lt;= 2.2.5.
The problem is resolved in Apache MINA 2.0.28, 2.1.11, and 2.2.6 by applying the classname allowlist earlier.
Affected are applications using Apache MINA that call IoBuffer.getObject().
Applications using Apache MINA are advised to upgrade.</t>
        </is>
      </c>
      <c r="F9" t="n">
        <v>9.800000000000001</v>
      </c>
      <c r="G9" s="5" t="inlineStr">
        <is>
          <t>CRITICAL</t>
        </is>
      </c>
      <c r="H9" s="2">
        <f>2.1.6; &gt;=2.1.0, &lt;2.1.11</f>
        <v/>
      </c>
      <c r="I9" t="inlineStr">
        <is>
          <t>2.1.13</t>
        </is>
      </c>
      <c r="J9" t="inlineStr">
        <is>
          <t>2.2.9</t>
        </is>
      </c>
      <c r="K9" s="2" t="inlineStr"/>
      <c r="L9" t="inlineStr">
        <is>
          <t>OSV</t>
        </is>
      </c>
      <c r="M9" t="inlineStr">
        <is>
          <t>2026-10-10T15:04:38+09:00</t>
        </is>
      </c>
    </row>
    <row r="10">
      <c r="A10" t="inlineStr">
        <is>
          <t>13</t>
        </is>
      </c>
      <c r="B10" t="inlineStr">
        <is>
          <t>Apache MINA</t>
        </is>
      </c>
      <c r="C10" t="inlineStr">
        <is>
          <t>2.1.6</t>
        </is>
      </c>
      <c r="D10" t="inlineStr">
        <is>
          <t>CVE-2026-42778</t>
        </is>
      </c>
      <c r="E10" s="2" t="inlineStr">
        <is>
          <t>The fix for CVE-2026-41409 was not applied to the 2.1.X and 2.2.X branches. Here was the original issue description:
The fix for CVE-2024-52046 in Apache MINA AbstractIoBuffer.getObject() was incomplete. The classname allowlist of classes allowed to be deserialized was applied too late after a static initializer in a class to be read might already have been executed.
Affected versions are Apache MINA 2.1.0 &lt;= 2.1.11, and 2.2.0 &lt;= 2.2.6.
The problem is resolved in Apache MINA 2.1.12, and 2.2.7 by applying the classname allowlist earlier.
Affected are applications using Apache MINA that call IoBuffer.getObject().
Applications using Apache MINA are advised to upgrade.</t>
        </is>
      </c>
      <c r="F10" t="n">
        <v>9.800000000000001</v>
      </c>
      <c r="G10" s="5" t="inlineStr">
        <is>
          <t>CRITICAL</t>
        </is>
      </c>
      <c r="H10" s="2">
        <f>2.1.6; &gt;=2.1.0, &lt;2.1.12</f>
        <v/>
      </c>
      <c r="I10" t="inlineStr">
        <is>
          <t>2.1.13</t>
        </is>
      </c>
      <c r="J10" t="inlineStr">
        <is>
          <t>2.2.9</t>
        </is>
      </c>
      <c r="K10" s="2" t="inlineStr"/>
      <c r="L10" t="inlineStr">
        <is>
          <t>OSV</t>
        </is>
      </c>
      <c r="M10" t="inlineStr">
        <is>
          <t>2026-10-10T15:04:38+09:00</t>
        </is>
      </c>
    </row>
    <row r="11">
      <c r="A11" t="inlineStr">
        <is>
          <t>13</t>
        </is>
      </c>
      <c r="B11" t="inlineStr">
        <is>
          <t>Apache MINA</t>
        </is>
      </c>
      <c r="C11" t="inlineStr">
        <is>
          <t>2.1.6</t>
        </is>
      </c>
      <c r="D11" t="inlineStr">
        <is>
          <t>CVE-2026-42779</t>
        </is>
      </c>
      <c r="E11" s="2" t="inlineStr">
        <is>
          <t>The fix for CVE-2026-41635 was not applied to the 2.1.X and 2.2.X branches. Here was the original issue description:
Apache MINA's AbstractIoBuffer.resolveClass() contains two branches, one of them (for static classes or primitive types) does not check the class at all, bypassing the classname allowlist and allowing arbitrary code to be executed.
The fix checks if the class is present in the accepted class filter before calling Class.forName(). 
Affected versions are Apache MINA 2.1.0 &lt;= 2.1.11, and 2.2.0 &lt;= 2.2.6.
The problem is resolved in Apache MINA 2.1.12, and 2.2.7 by applying the classname allowlist earlier.
Affected are applications using Apache MINA that call  IoBuffer.getObject().
Applications using Apache MINA are advised to upgrade.</t>
        </is>
      </c>
      <c r="F11" t="n">
        <v>9.800000000000001</v>
      </c>
      <c r="G11" s="5" t="inlineStr">
        <is>
          <t>CRITICAL</t>
        </is>
      </c>
      <c r="H11" s="2">
        <f>2.1.6; &gt;=2.1.0, &lt;2.1.12</f>
        <v/>
      </c>
      <c r="I11" t="inlineStr">
        <is>
          <t>2.1.13</t>
        </is>
      </c>
      <c r="J11" t="inlineStr">
        <is>
          <t>2.2.9</t>
        </is>
      </c>
      <c r="K11" s="2" t="inlineStr"/>
      <c r="L11" t="inlineStr">
        <is>
          <t>OSV</t>
        </is>
      </c>
      <c r="M11" t="inlineStr">
        <is>
          <t>2026-10-10T15:04:38+09:00</t>
        </is>
      </c>
    </row>
    <row r="12">
      <c r="A12" t="inlineStr">
        <is>
          <t>13</t>
        </is>
      </c>
      <c r="B12" t="inlineStr">
        <is>
          <t>Apache MINA</t>
        </is>
      </c>
      <c r="C12" t="inlineStr">
        <is>
          <t>2.1.6</t>
        </is>
      </c>
      <c r="D12" t="inlineStr">
        <is>
          <t>CVE-2026-47065</t>
        </is>
      </c>
      <c r="E12" s="2" t="inlineStr">
        <is>
          <t>ZDRES-232: resolveProxyClass Not Overridden - acceptMatchers Filter Bypass via java.lang.reflect.Proxy
Assessment: Fully addressed.
When the serialised stream contains a TC_PROXYCLASSDESC (the marker for a java.lang.reflect.Proxy ), JDK’s ObjectInputStream.readProxyDesc() is dispatched. JDK then calls the default  ObjectInputStream.resolveProxyClass(interfaces) implementation, which performs Class.forName(intf, false, latestUserDefinedLoader()) for EACH interface name and constructs the proxy class â€” bypassing the accepted classes list .
ZDRES-233: Class.forName(name, initialize=true, classLoader) in readClassDescriptor Triggers Static Initialiser of Allow-Listed Classes
Assessment: Fully addressed.
For ANY class on the allow-list, deserialising a stream that names it triggers the class’s (static initialiser) BEFORE any instance is constructed. This means an attacker who supplies a class name on the allow-list (e.g., the developer wrote accept(“com.myapp.*") , attacker supplies com.myapp.SomeClass ) causes &lt;clinit&gt; of SomeClass â€” and many real-world classes have side-effecting static initialisers
Both issues have been fixed.</t>
        </is>
      </c>
      <c r="F12" t="n">
        <v>9.800000000000001</v>
      </c>
      <c r="G12" s="5" t="inlineStr">
        <is>
          <t>CRITICAL</t>
        </is>
      </c>
      <c r="H12" s="2">
        <f>2.1.6; &gt;=2.1.0, &lt;2.1.13</f>
        <v/>
      </c>
      <c r="I12" t="inlineStr">
        <is>
          <t>2.1.13</t>
        </is>
      </c>
      <c r="J12" t="inlineStr">
        <is>
          <t>2.2.9</t>
        </is>
      </c>
      <c r="K12" s="2" t="inlineStr"/>
      <c r="L12" t="inlineStr">
        <is>
          <t>OSV</t>
        </is>
      </c>
      <c r="M12" t="inlineStr">
        <is>
          <t>2026-10-10T15:04:38+09:00</t>
        </is>
      </c>
    </row>
    <row r="13">
      <c r="A13" t="inlineStr">
        <is>
          <t>14</t>
        </is>
      </c>
      <c r="B13" t="inlineStr">
        <is>
          <t>GNU Compiler Collection</t>
        </is>
      </c>
      <c r="C13" t="inlineStr">
        <is>
          <t>4.8.0</t>
        </is>
      </c>
      <c r="D13" t="inlineStr">
        <is>
          <t>CVE-2018-12886</t>
        </is>
      </c>
      <c r="E13" s="2" t="inlineStr">
        <is>
          <t>stack_protect_prologue in cfgexpand.c and stack_protect_epilogue in function.c in GNU Compiler Collection (GCC) 4.1 through 8 (under certain circumstances) generate instruction sequences when targeting ARM targets that spill the address of the stack protector guard, which allows an attacker to bypass the protection of -fstack-protector, -fstack-protector-all, -fstack-protector-strong, and -fstack-protector-explicit against stack overflow by controlling what the stack canary is compared against.</t>
        </is>
      </c>
      <c r="F13" t="n">
        <v>8.1</v>
      </c>
      <c r="G13" s="3" t="inlineStr">
        <is>
          <t>HIGH</t>
        </is>
      </c>
      <c r="H13" s="2" t="inlineStr">
        <is>
          <t>&gt;=4.1, &lt;=8.0</t>
        </is>
      </c>
      <c r="I13" t="inlineStr">
        <is>
          <t>4.9.4</t>
        </is>
      </c>
      <c r="J13" t="inlineStr">
        <is>
          <t>11.1</t>
        </is>
      </c>
      <c r="K13" s="2" t="inlineStr">
        <is>
          <t>동일 브랜치 최종 버전, 미해결: CVE-2018-12886, CVE-2019-15847, CVE-2021-37322; 브랜치 변경 시: 10.1.0; 버전 목록 출처: NVD CPE</t>
        </is>
      </c>
      <c r="L13" t="inlineStr">
        <is>
          <t>NVD</t>
        </is>
      </c>
      <c r="M13" t="inlineStr">
        <is>
          <t>2026-10-10T15:04:38+09:00</t>
        </is>
      </c>
    </row>
    <row r="14">
      <c r="A14" t="inlineStr">
        <is>
          <t>14</t>
        </is>
      </c>
      <c r="B14" t="inlineStr">
        <is>
          <t>GNU Compiler Collection</t>
        </is>
      </c>
      <c r="C14" t="inlineStr">
        <is>
          <t>4.8.0</t>
        </is>
      </c>
      <c r="D14" t="inlineStr">
        <is>
          <t>CVE-2021-37322</t>
        </is>
      </c>
      <c r="E14" s="2" t="inlineStr">
        <is>
          <t>GCC c++filt v2.26 was discovered to contain a use-after-free vulnerability via the component cplus-dem.c.</t>
        </is>
      </c>
      <c r="F14" t="n">
        <v>7.8</v>
      </c>
      <c r="G14" s="3" t="inlineStr">
        <is>
          <t>HIGH</t>
        </is>
      </c>
      <c r="H14" s="2" t="inlineStr">
        <is>
          <t>&lt;10.1</t>
        </is>
      </c>
      <c r="I14" t="inlineStr">
        <is>
          <t>4.9.4</t>
        </is>
      </c>
      <c r="J14" t="inlineStr">
        <is>
          <t>11.1</t>
        </is>
      </c>
      <c r="K14" s="2" t="inlineStr">
        <is>
          <t>동일 브랜치 최종 버전, 미해결: CVE-2018-12886, CVE-2019-15847, CVE-2021-37322; 브랜치 변경 시: 10.1.0; 버전 목록 출처: NVD CPE</t>
        </is>
      </c>
      <c r="L14" t="inlineStr">
        <is>
          <t>NVD</t>
        </is>
      </c>
      <c r="M14" t="inlineStr">
        <is>
          <t>2026-10-10T15:04:38+09:00</t>
        </is>
      </c>
    </row>
    <row r="15">
      <c r="A15" t="inlineStr">
        <is>
          <t>14</t>
        </is>
      </c>
      <c r="B15" t="inlineStr">
        <is>
          <t>GNU Compiler Collection</t>
        </is>
      </c>
      <c r="C15" t="inlineStr">
        <is>
          <t>4.8.0</t>
        </is>
      </c>
      <c r="D15" t="inlineStr">
        <is>
          <t>CVE-2019-15847</t>
        </is>
      </c>
      <c r="E15" s="2" t="inlineStr">
        <is>
          <t>The POWER9 backend in GNU Compiler Collection (GCC) before version 10 could optimize multiple calls of the __builtin_darn intrinsic into a single call, thus reducing the entropy of the random number generator. This occurred because a volatile operation was not specified. For example, within a single execution of a program, the output of every __builtin_darn() call may be the same.</t>
        </is>
      </c>
      <c r="F15" t="n">
        <v>7.5</v>
      </c>
      <c r="G15" s="3" t="inlineStr">
        <is>
          <t>HIGH</t>
        </is>
      </c>
      <c r="H15" s="2" t="inlineStr">
        <is>
          <t>&lt;7.5.0</t>
        </is>
      </c>
      <c r="I15" t="inlineStr">
        <is>
          <t>4.9.4</t>
        </is>
      </c>
      <c r="J15" t="inlineStr">
        <is>
          <t>11.1</t>
        </is>
      </c>
      <c r="K15" s="2" t="inlineStr">
        <is>
          <t>동일 브랜치 최종 버전, 미해결: CVE-2018-12886, CVE-2019-15847, CVE-2021-37322; 브랜치 변경 시: 10.1.0; 버전 목록 출처: NVD CPE</t>
        </is>
      </c>
      <c r="L15" t="inlineStr">
        <is>
          <t>NVD</t>
        </is>
      </c>
      <c r="M15" t="inlineStr">
        <is>
          <t>2026-10-10T15:04:38+09:00</t>
        </is>
      </c>
    </row>
    <row r="16">
      <c r="A16" t="inlineStr">
        <is>
          <t>14</t>
        </is>
      </c>
      <c r="B16" t="inlineStr">
        <is>
          <t>GNU Compiler Collection</t>
        </is>
      </c>
      <c r="C16" t="inlineStr">
        <is>
          <t>4.8.0</t>
        </is>
      </c>
      <c r="D16" t="inlineStr">
        <is>
          <t>CVE-2015-5276</t>
        </is>
      </c>
      <c r="E16" s="2" t="inlineStr">
        <is>
          <t>The std::random_device class in libstdc++ in the GNU Compiler Collection (aka GCC) before 4.9.4 does not properly handle short reads from blocking sources, which makes it easier for context-dependent attackers to predict the random values via unspecified vectors.</t>
        </is>
      </c>
      <c r="F16" t="n">
        <v>5</v>
      </c>
      <c r="G16" s="4" t="inlineStr">
        <is>
          <t>MEDIUM</t>
        </is>
      </c>
      <c r="H16" s="2" t="inlineStr">
        <is>
          <t>&lt;4.9.4</t>
        </is>
      </c>
      <c r="I16" t="inlineStr">
        <is>
          <t>4.9.4</t>
        </is>
      </c>
      <c r="J16" t="inlineStr">
        <is>
          <t>11.1</t>
        </is>
      </c>
      <c r="K16" s="2" t="inlineStr">
        <is>
          <t>동일 브랜치 최종 버전, 미해결: CVE-2018-12886, CVE-2019-15847, CVE-2021-37322; 브랜치 변경 시: 10.1.0; 버전 목록 출처: NVD CPE</t>
        </is>
      </c>
      <c r="L16" t="inlineStr">
        <is>
          <t>NVD</t>
        </is>
      </c>
      <c r="M16" t="inlineStr">
        <is>
          <t>2026-10-10T15:04:38+09:00</t>
        </is>
      </c>
    </row>
    <row r="17">
      <c r="A17" t="inlineStr">
        <is>
          <t>14</t>
        </is>
      </c>
      <c r="B17" t="inlineStr">
        <is>
          <t>GNU Compiler Collection</t>
        </is>
      </c>
      <c r="C17" t="inlineStr">
        <is>
          <t>4.8.0</t>
        </is>
      </c>
      <c r="D17" t="inlineStr">
        <is>
          <t>CVE-2017-11671</t>
        </is>
      </c>
      <c r="E17" s="2" t="inlineStr">
        <is>
          <t>Under certain circumstances, the ix86_expand_builtin function in i386.c in GNU Compiler Collection (GCC) version 4.6, 4.7, 4.8, 4.9, 5 before 5.5, and 6 before 6.4 will generate instruction sequences that clobber the status flag of the RDRAND and RDSEED intrinsics before it can be read, potentially causing failures of these instructions to go unreported. This could potentially lead to less randomness in random number generation.</t>
        </is>
      </c>
      <c r="F17" t="n">
        <v>4</v>
      </c>
      <c r="G17" s="4" t="inlineStr">
        <is>
          <t>MEDIUM</t>
        </is>
      </c>
      <c r="H17" s="2">
        <f>4.8</f>
        <v/>
      </c>
      <c r="I17" t="inlineStr">
        <is>
          <t>4.9.4</t>
        </is>
      </c>
      <c r="J17" t="inlineStr">
        <is>
          <t>11.1</t>
        </is>
      </c>
      <c r="K17" s="2" t="inlineStr">
        <is>
          <t>동일 브랜치 최종 버전, 미해결: CVE-2018-12886, CVE-2019-15847, CVE-2021-37322; 브랜치 변경 시: 10.1.0; 버전 목록 출처: NVD CPE</t>
        </is>
      </c>
      <c r="L17" t="inlineStr">
        <is>
          <t>NVD</t>
        </is>
      </c>
      <c r="M17" t="inlineStr">
        <is>
          <t>2026-10-10T15:04:38+09:00</t>
        </is>
      </c>
    </row>
    <row r="18">
      <c r="A18" t="inlineStr">
        <is>
          <t>26</t>
        </is>
      </c>
      <c r="B18" t="inlineStr">
        <is>
          <t>GNU Compiler Collection</t>
        </is>
      </c>
      <c r="C18" t="inlineStr">
        <is>
          <t>4.9.0</t>
        </is>
      </c>
      <c r="D18" t="inlineStr">
        <is>
          <t>CVE-2018-12886</t>
        </is>
      </c>
      <c r="E18" s="2" t="inlineStr">
        <is>
          <t>stack_protect_prologue in cfgexpand.c and stack_protect_epilogue in function.c in GNU Compiler Collection (GCC) 4.1 through 8 (under certain circumstances) generate instruction sequences when targeting ARM targets that spill the address of the stack protector guard, which allows an attacker to bypass the protection of -fstack-protector, -fstack-protector-all, -fstack-protector-strong, and -fstack-protector-explicit against stack overflow by controlling what the stack canary is compared against.</t>
        </is>
      </c>
      <c r="F18" t="n">
        <v>8.1</v>
      </c>
      <c r="G18" s="3" t="inlineStr">
        <is>
          <t>HIGH</t>
        </is>
      </c>
      <c r="H18" s="2" t="inlineStr">
        <is>
          <t>&gt;=4.1, &lt;=8.0</t>
        </is>
      </c>
      <c r="I18" t="inlineStr">
        <is>
          <t>4.9.4</t>
        </is>
      </c>
      <c r="J18" t="inlineStr">
        <is>
          <t>11.1</t>
        </is>
      </c>
      <c r="K18" s="2" t="inlineStr">
        <is>
          <t>동일 브랜치 최종 버전, 미해결: CVE-2018-12886, CVE-2019-15847, CVE-2021-37322; 브랜치 변경 시: 10.1.0; 버전 목록 출처: NVD CPE</t>
        </is>
      </c>
      <c r="L18" t="inlineStr">
        <is>
          <t>NVD</t>
        </is>
      </c>
      <c r="M18" t="inlineStr">
        <is>
          <t>2026-10-10T15:04:38+09:00</t>
        </is>
      </c>
    </row>
    <row r="19">
      <c r="A19" t="inlineStr">
        <is>
          <t>26</t>
        </is>
      </c>
      <c r="B19" t="inlineStr">
        <is>
          <t>GNU Compiler Collection</t>
        </is>
      </c>
      <c r="C19" t="inlineStr">
        <is>
          <t>4.9.0</t>
        </is>
      </c>
      <c r="D19" t="inlineStr">
        <is>
          <t>CVE-2021-37322</t>
        </is>
      </c>
      <c r="E19" s="2" t="inlineStr">
        <is>
          <t>GCC c++filt v2.26 was discovered to contain a use-after-free vulnerability via the component cplus-dem.c.</t>
        </is>
      </c>
      <c r="F19" t="n">
        <v>7.8</v>
      </c>
      <c r="G19" s="3" t="inlineStr">
        <is>
          <t>HIGH</t>
        </is>
      </c>
      <c r="H19" s="2" t="inlineStr">
        <is>
          <t>&lt;10.1</t>
        </is>
      </c>
      <c r="I19" t="inlineStr">
        <is>
          <t>4.9.4</t>
        </is>
      </c>
      <c r="J19" t="inlineStr">
        <is>
          <t>11.1</t>
        </is>
      </c>
      <c r="K19" s="2" t="inlineStr">
        <is>
          <t>동일 브랜치 최종 버전, 미해결: CVE-2018-12886, CVE-2019-15847, CVE-2021-37322; 브랜치 변경 시: 10.1.0; 버전 목록 출처: NVD CPE</t>
        </is>
      </c>
      <c r="L19" t="inlineStr">
        <is>
          <t>NVD</t>
        </is>
      </c>
      <c r="M19" t="inlineStr">
        <is>
          <t>2026-10-10T15:04:38+09:00</t>
        </is>
      </c>
    </row>
    <row r="20">
      <c r="A20" t="inlineStr">
        <is>
          <t>26</t>
        </is>
      </c>
      <c r="B20" t="inlineStr">
        <is>
          <t>GNU Compiler Collection</t>
        </is>
      </c>
      <c r="C20" t="inlineStr">
        <is>
          <t>4.9.0</t>
        </is>
      </c>
      <c r="D20" t="inlineStr">
        <is>
          <t>CVE-2019-15847</t>
        </is>
      </c>
      <c r="E20" s="2" t="inlineStr">
        <is>
          <t>The POWER9 backend in GNU Compiler Collection (GCC) before version 10 could optimize multiple calls of the __builtin_darn intrinsic into a single call, thus reducing the entropy of the random number generator. This occurred because a volatile operation was not specified. For example, within a single execution of a program, the output of every __builtin_darn() call may be the same.</t>
        </is>
      </c>
      <c r="F20" t="n">
        <v>7.5</v>
      </c>
      <c r="G20" s="3" t="inlineStr">
        <is>
          <t>HIGH</t>
        </is>
      </c>
      <c r="H20" s="2" t="inlineStr">
        <is>
          <t>&lt;7.5.0</t>
        </is>
      </c>
      <c r="I20" t="inlineStr">
        <is>
          <t>4.9.4</t>
        </is>
      </c>
      <c r="J20" t="inlineStr">
        <is>
          <t>11.1</t>
        </is>
      </c>
      <c r="K20" s="2" t="inlineStr">
        <is>
          <t>동일 브랜치 최종 버전, 미해결: CVE-2018-12886, CVE-2019-15847, CVE-2021-37322; 브랜치 변경 시: 10.1.0; 버전 목록 출처: NVD CPE</t>
        </is>
      </c>
      <c r="L20" t="inlineStr">
        <is>
          <t>NVD</t>
        </is>
      </c>
      <c r="M20" t="inlineStr">
        <is>
          <t>2026-10-10T15:04:38+09:00</t>
        </is>
      </c>
    </row>
    <row r="21">
      <c r="A21" t="inlineStr">
        <is>
          <t>26</t>
        </is>
      </c>
      <c r="B21" t="inlineStr">
        <is>
          <t>GNU Compiler Collection</t>
        </is>
      </c>
      <c r="C21" t="inlineStr">
        <is>
          <t>4.9.0</t>
        </is>
      </c>
      <c r="D21" t="inlineStr">
        <is>
          <t>CVE-2015-5276</t>
        </is>
      </c>
      <c r="E21" s="2" t="inlineStr">
        <is>
          <t>The std::random_device class in libstdc++ in the GNU Compiler Collection (aka GCC) before 4.9.4 does not properly handle short reads from blocking sources, which makes it easier for context-dependent attackers to predict the random values via unspecified vectors.</t>
        </is>
      </c>
      <c r="F21" t="n">
        <v>5</v>
      </c>
      <c r="G21" s="4" t="inlineStr">
        <is>
          <t>MEDIUM</t>
        </is>
      </c>
      <c r="H21" s="2" t="inlineStr">
        <is>
          <t>&lt;4.9.4</t>
        </is>
      </c>
      <c r="I21" t="inlineStr">
        <is>
          <t>4.9.4</t>
        </is>
      </c>
      <c r="J21" t="inlineStr">
        <is>
          <t>11.1</t>
        </is>
      </c>
      <c r="K21" s="2" t="inlineStr">
        <is>
          <t>동일 브랜치 최종 버전, 미해결: CVE-2018-12886, CVE-2019-15847, CVE-2021-37322; 브랜치 변경 시: 10.1.0; 버전 목록 출처: NVD CPE</t>
        </is>
      </c>
      <c r="L21" t="inlineStr">
        <is>
          <t>NVD</t>
        </is>
      </c>
      <c r="M21" t="inlineStr">
        <is>
          <t>2026-10-10T15:04:38+09:00</t>
        </is>
      </c>
    </row>
    <row r="22">
      <c r="A22" t="inlineStr">
        <is>
          <t>26</t>
        </is>
      </c>
      <c r="B22" t="inlineStr">
        <is>
          <t>GNU Compiler Collection</t>
        </is>
      </c>
      <c r="C22" t="inlineStr">
        <is>
          <t>4.9.0</t>
        </is>
      </c>
      <c r="D22" t="inlineStr">
        <is>
          <t>CVE-2017-11671</t>
        </is>
      </c>
      <c r="E22" s="2" t="inlineStr">
        <is>
          <t>Under certain circumstances, the ix86_expand_builtin function in i386.c in GNU Compiler Collection (GCC) version 4.6, 4.7, 4.8, 4.9, 5 before 5.5, and 6 before 6.4 will generate instruction sequences that clobber the status flag of the RDRAND and RDSEED intrinsics before it can be read, potentially causing failures of these instructions to go unreported. This could potentially lead to less randomness in random number generation.</t>
        </is>
      </c>
      <c r="F22" t="n">
        <v>4</v>
      </c>
      <c r="G22" s="4" t="inlineStr">
        <is>
          <t>MEDIUM</t>
        </is>
      </c>
      <c r="H22" s="2">
        <f>4.9</f>
        <v/>
      </c>
      <c r="I22" t="inlineStr">
        <is>
          <t>4.9.4</t>
        </is>
      </c>
      <c r="J22" t="inlineStr">
        <is>
          <t>11.1</t>
        </is>
      </c>
      <c r="K22" s="2" t="inlineStr">
        <is>
          <t>동일 브랜치 최종 버전, 미해결: CVE-2018-12886, CVE-2019-15847, CVE-2021-37322; 브랜치 변경 시: 10.1.0; 버전 목록 출처: NVD CPE</t>
        </is>
      </c>
      <c r="L22" t="inlineStr">
        <is>
          <t>NVD</t>
        </is>
      </c>
      <c r="M22" t="inlineStr">
        <is>
          <t>2026-10-10T15:04:38+09:00</t>
        </is>
      </c>
    </row>
    <row r="23">
      <c r="A23" t="inlineStr">
        <is>
          <t>37</t>
        </is>
      </c>
      <c r="B23" t="inlineStr">
        <is>
          <t>googlegson</t>
        </is>
      </c>
      <c r="C23" t="inlineStr">
        <is>
          <t>1.7</t>
        </is>
      </c>
      <c r="D23" t="inlineStr">
        <is>
          <t>CVE-2022-25647</t>
        </is>
      </c>
      <c r="E23" s="2" t="inlineStr">
        <is>
          <t>The package `com.google.code.gson:gson` before 2.8.9 is vulnerable to Deserialization of Untrusted Data via the `writeReplace()` method in internal classes, which may lead to denial of service attacks.</t>
        </is>
      </c>
      <c r="F23" t="n">
        <v>7.5</v>
      </c>
      <c r="G23" s="3" t="inlineStr">
        <is>
          <t>HIGH</t>
        </is>
      </c>
      <c r="H23" s="2">
        <f>1.7; &lt;2.8.9</f>
        <v/>
      </c>
      <c r="I23" t="inlineStr">
        <is>
          <t>1.7.2</t>
        </is>
      </c>
      <c r="J23" t="inlineStr">
        <is>
          <t>2.14.0</t>
        </is>
      </c>
      <c r="K23" s="2" t="inlineStr">
        <is>
          <t>동일 브랜치 최종 버전, 미해결: CVE-2022-25647; 브랜치 변경 시: 2.8.9</t>
        </is>
      </c>
      <c r="L23" t="inlineStr">
        <is>
          <t>OSV</t>
        </is>
      </c>
      <c r="M23" t="inlineStr">
        <is>
          <t>2026-10-10T15:04:38+09:00</t>
        </is>
      </c>
    </row>
    <row r="24">
      <c r="A24" t="inlineStr">
        <is>
          <t>38</t>
        </is>
      </c>
      <c r="B24" t="inlineStr">
        <is>
          <t>libjpeg</t>
        </is>
      </c>
      <c r="C24" t="inlineStr">
        <is>
          <t>8b</t>
        </is>
      </c>
      <c r="D24" t="inlineStr">
        <is>
          <t>CVE-2020-14152</t>
        </is>
      </c>
      <c r="E24" s="2" t="inlineStr">
        <is>
          <t>In IJG JPEG (aka libjpeg) before 9d, jpeg_mem_available() in jmemnobs.c in djpeg does not honor the max_memory_to_use setting, possibly causing excessive memory consumption.</t>
        </is>
      </c>
      <c r="F24" t="n">
        <v>7.1</v>
      </c>
      <c r="G24" s="3" t="inlineStr">
        <is>
          <t>HIGH</t>
        </is>
      </c>
      <c r="H24" s="2" t="inlineStr">
        <is>
          <t>&lt;9d</t>
        </is>
      </c>
      <c r="I24" t="inlineStr">
        <is>
          <t>8d</t>
        </is>
      </c>
      <c r="J24" t="inlineStr">
        <is>
          <t>9d</t>
        </is>
      </c>
      <c r="K24" s="2" t="inlineStr">
        <is>
          <t>동일 브랜치 최종 버전, 미해결: CVE-2020-14152, CVE-2020-14153; 브랜치 변경 시: 9d; 버전 목록 출처: NVD CPE</t>
        </is>
      </c>
      <c r="L24" t="inlineStr">
        <is>
          <t>NVD</t>
        </is>
      </c>
      <c r="M24" t="inlineStr">
        <is>
          <t>2026-10-10T15:04:38+09:00</t>
        </is>
      </c>
    </row>
    <row r="25">
      <c r="A25" t="inlineStr">
        <is>
          <t>38</t>
        </is>
      </c>
      <c r="B25" t="inlineStr">
        <is>
          <t>libjpeg</t>
        </is>
      </c>
      <c r="C25" t="inlineStr">
        <is>
          <t>8b</t>
        </is>
      </c>
      <c r="D25" t="inlineStr">
        <is>
          <t>CVE-2020-14153</t>
        </is>
      </c>
      <c r="E25" s="2" t="inlineStr">
        <is>
          <t>In IJG JPEG (aka libjpeg) from version 8 through 9c, jdhuff.c has an out-of-bounds array read for certain table pointers.</t>
        </is>
      </c>
      <c r="F25" t="n">
        <v>7.1</v>
      </c>
      <c r="G25" s="3" t="inlineStr">
        <is>
          <t>HIGH</t>
        </is>
      </c>
      <c r="H25" s="2" t="inlineStr">
        <is>
          <t>&gt;=8, &lt;=9c</t>
        </is>
      </c>
      <c r="I25" t="inlineStr">
        <is>
          <t>8d</t>
        </is>
      </c>
      <c r="J25" t="inlineStr">
        <is>
          <t>9d</t>
        </is>
      </c>
      <c r="K25" s="2" t="inlineStr">
        <is>
          <t>동일 브랜치 최종 버전, 미해결: CVE-2020-14152, CVE-2020-14153; 브랜치 변경 시: 9d; 버전 목록 출처: NVD CPE</t>
        </is>
      </c>
      <c r="L25" t="inlineStr">
        <is>
          <t>NVD</t>
        </is>
      </c>
      <c r="M25" t="inlineStr">
        <is>
          <t>2026-10-10T15:04:38+09:00</t>
        </is>
      </c>
    </row>
    <row r="26">
      <c r="A26" t="inlineStr">
        <is>
          <t>51</t>
        </is>
      </c>
      <c r="B26" t="inlineStr">
        <is>
          <t>LLVM - Low Level Virtual Machine</t>
        </is>
      </c>
      <c r="C26" t="inlineStr">
        <is>
          <t>llvmorg-9.0.1-rc3</t>
        </is>
      </c>
      <c r="D26" t="inlineStr">
        <is>
          <t>취약점 없음</t>
        </is>
      </c>
      <c r="E26" s="2" t="inlineStr"/>
      <c r="G26" t="inlineStr"/>
      <c r="H26" s="2" t="inlineStr"/>
      <c r="I26" t="inlineStr">
        <is>
          <t>-</t>
        </is>
      </c>
      <c r="J26" t="inlineStr">
        <is>
          <t>-</t>
        </is>
      </c>
      <c r="K26" s="2" t="inlineStr">
        <is>
          <t>버전 목록 없음; 버전 목록 출처: NVD CPE</t>
        </is>
      </c>
      <c r="L26" t="inlineStr"/>
      <c r="M26" t="inlineStr">
        <is>
          <t>2026-10-10T15:04:38+09:00</t>
        </is>
      </c>
    </row>
    <row r="27">
      <c r="A27" t="inlineStr">
        <is>
          <t>52</t>
        </is>
      </c>
      <c r="B27" t="inlineStr">
        <is>
          <t>OpenSSL</t>
        </is>
      </c>
      <c r="C27" t="inlineStr">
        <is>
          <t>0.9.8h</t>
        </is>
      </c>
      <c r="D27" t="inlineStr">
        <is>
          <t>CVE-2009-3245</t>
        </is>
      </c>
      <c r="E27" s="2" t="inlineStr">
        <is>
          <t>OpenSSL before 0.9.8m does not check for a NULL return value from bn_wexpand function calls in (1) crypto/bn/bn_div.c, (2) crypto/bn/bn_gf2m.c, (3) crypto/ec/ec2_smpl.c, and (4) engines/e_ubsec.c, which has unspecified impact and context-dependent attack vectors.</t>
        </is>
      </c>
      <c r="F27" t="n">
        <v>10</v>
      </c>
      <c r="G27" s="3" t="inlineStr">
        <is>
          <t>HIGH</t>
        </is>
      </c>
      <c r="H27" s="2">
        <f>0.9.8h; &lt;=0.9.8l</f>
        <v/>
      </c>
      <c r="I27" t="inlineStr">
        <is>
          <t>0.9.8zh</t>
        </is>
      </c>
      <c r="J27" t="inlineStr">
        <is>
          <t>3.3.7</t>
        </is>
      </c>
      <c r="K27" s="2" t="inlineStr">
        <is>
          <t>동일 브랜치 최종 버전, 미해결: CVE-2010-4252, CVE-2010-5298, CVE-2011-1945, CVE-2011-4108, CVE-2011-4576 외 13건; 브랜치 변경 시: 3.3.7; 버전 목록 출처: NVD CPE</t>
        </is>
      </c>
      <c r="L27" t="inlineStr">
        <is>
          <t>NVD</t>
        </is>
      </c>
      <c r="M27" t="inlineStr">
        <is>
          <t>2026-10-10T15:04:38+09:00</t>
        </is>
      </c>
    </row>
    <row r="28">
      <c r="A28" t="inlineStr">
        <is>
          <t>52</t>
        </is>
      </c>
      <c r="B28" t="inlineStr">
        <is>
          <t>OpenSSL</t>
        </is>
      </c>
      <c r="C28" t="inlineStr">
        <is>
          <t>0.9.8h</t>
        </is>
      </c>
      <c r="D28" t="inlineStr">
        <is>
          <t>CVE-2009-3555</t>
        </is>
      </c>
      <c r="E28" s="2" t="inlineStr">
        <is>
          <t>The TLS protocol, and the SSL protocol 3.0 and possibly earlier, as used in Microsoft Internet Information Services (IIS) 7.0, mod_ssl in the Apache HTTP Server 2.2.14 and earlier, OpenSSL before 0.9.8l, GnuTLS 2.8.5 and earlier, Mozilla Network Security Services (NSS) 3.12.4 and earlier, multiple Cisco products, and other products, does not properly associate renegotiation handshakes with an existing connection, which allows man-in-the-middle attackers to insert data into HTTPS sessions, and possibly other types of sessions protected by TLS or SSL, by sending an unauthenticated request that is processed retroactively by a server in a post-renegotiation context, related to a "plaintext injection" attack, aka the "Project Mogul" issue.</t>
        </is>
      </c>
      <c r="F28" t="n">
        <v>9.800000000000001</v>
      </c>
      <c r="G28" s="5" t="inlineStr">
        <is>
          <t>CRITICAL</t>
        </is>
      </c>
      <c r="H28" s="2" t="inlineStr">
        <is>
          <t>&lt;=0.9.8k</t>
        </is>
      </c>
      <c r="I28" t="inlineStr">
        <is>
          <t>0.9.8zh</t>
        </is>
      </c>
      <c r="J28" t="inlineStr">
        <is>
          <t>3.3.7</t>
        </is>
      </c>
      <c r="K28" s="2" t="inlineStr">
        <is>
          <t>동일 브랜치 최종 버전, 미해결: CVE-2010-4252, CVE-2010-5298, CVE-2011-1945, CVE-2011-4108, CVE-2011-4576 외 13건; 브랜치 변경 시: 3.3.7; 버전 목록 출처: NVD CPE</t>
        </is>
      </c>
      <c r="L28" t="inlineStr">
        <is>
          <t>NVD</t>
        </is>
      </c>
      <c r="M28" t="inlineStr">
        <is>
          <t>2026-10-10T15:04:38+09:00</t>
        </is>
      </c>
    </row>
    <row r="29">
      <c r="A29" t="inlineStr">
        <is>
          <t>52</t>
        </is>
      </c>
      <c r="B29" t="inlineStr">
        <is>
          <t>OpenSSL</t>
        </is>
      </c>
      <c r="C29" t="inlineStr">
        <is>
          <t>0.9.8h</t>
        </is>
      </c>
      <c r="D29" t="inlineStr">
        <is>
          <t>CVE-2016-2108</t>
        </is>
      </c>
      <c r="E29" s="2" t="inlineStr">
        <is>
          <t>The ASN.1 implementation in OpenSSL before 1.0.1o and 1.0.2 before 1.0.2c allows remote attackers to execute arbitrary code or cause a denial of service (buffer underflow and memory corruption) via an ANY field in crafted serialized data, aka the "negative zero" issue.</t>
        </is>
      </c>
      <c r="F29" t="n">
        <v>9.800000000000001</v>
      </c>
      <c r="G29" s="5" t="inlineStr">
        <is>
          <t>CRITICAL</t>
        </is>
      </c>
      <c r="H29" s="2" t="inlineStr">
        <is>
          <t>&lt;=1.0.1n</t>
        </is>
      </c>
      <c r="I29" t="inlineStr">
        <is>
          <t>0.9.8zh</t>
        </is>
      </c>
      <c r="J29" t="inlineStr">
        <is>
          <t>3.3.7</t>
        </is>
      </c>
      <c r="K29" s="2" t="inlineStr">
        <is>
          <t>동일 브랜치 최종 버전, 미해결: CVE-2010-4252, CVE-2010-5298, CVE-2011-1945, CVE-2011-4108, CVE-2011-4576 외 13건; 브랜치 변경 시: 3.3.7; 버전 목록 출처: NVD CPE</t>
        </is>
      </c>
      <c r="L29" t="inlineStr">
        <is>
          <t>NVD</t>
        </is>
      </c>
      <c r="M29" t="inlineStr">
        <is>
          <t>2026-10-10T15:04:38+09:00</t>
        </is>
      </c>
    </row>
    <row r="30">
      <c r="A30" t="inlineStr">
        <is>
          <t>52</t>
        </is>
      </c>
      <c r="B30" t="inlineStr">
        <is>
          <t>OpenSSL</t>
        </is>
      </c>
      <c r="C30" t="inlineStr">
        <is>
          <t>0.9.8h</t>
        </is>
      </c>
      <c r="D30" t="inlineStr">
        <is>
          <t>CVE-2011-4109</t>
        </is>
      </c>
      <c r="E30" s="2" t="inlineStr">
        <is>
          <t>Double free vulnerability in OpenSSL 0.9.8 before 0.9.8s, when X509_V_FLAG_POLICY_CHECK is enabled, allows remote attackers to have an unspecified impact by triggering failure of a policy check.</t>
        </is>
      </c>
      <c r="F30" t="n">
        <v>9.300000000000001</v>
      </c>
      <c r="G30" s="3" t="inlineStr">
        <is>
          <t>HIGH</t>
        </is>
      </c>
      <c r="H30" s="2">
        <f>0.9.8h</f>
        <v/>
      </c>
      <c r="I30" t="inlineStr">
        <is>
          <t>0.9.8zh</t>
        </is>
      </c>
      <c r="J30" t="inlineStr">
        <is>
          <t>3.3.7</t>
        </is>
      </c>
      <c r="K30" s="2" t="inlineStr">
        <is>
          <t>동일 브랜치 최종 버전, 미해결: CVE-2010-4252, CVE-2010-5298, CVE-2011-1945, CVE-2011-4108, CVE-2011-4576 외 13건; 브랜치 변경 시: 3.3.7; 버전 목록 출처: NVD CPE</t>
        </is>
      </c>
      <c r="L30" t="inlineStr">
        <is>
          <t>NVD</t>
        </is>
      </c>
      <c r="M30" t="inlineStr">
        <is>
          <t>2026-10-10T15:04:38+09:00</t>
        </is>
      </c>
    </row>
    <row r="31">
      <c r="A31" t="inlineStr">
        <is>
          <t>52</t>
        </is>
      </c>
      <c r="B31" t="inlineStr">
        <is>
          <t>OpenSSL</t>
        </is>
      </c>
      <c r="C31" t="inlineStr">
        <is>
          <t>0.9.8h</t>
        </is>
      </c>
      <c r="D31" t="inlineStr">
        <is>
          <t>CVE-2016-2176</t>
        </is>
      </c>
      <c r="E31" s="2" t="inlineStr">
        <is>
          <t>The X509_NAME_oneline function in crypto/x509/x509_obj.c in OpenSSL before 1.0.1t and 1.0.2 before 1.0.2h allows remote attackers to obtain sensitive information from process stack memory or cause a denial of service (buffer over-read) via crafted EBCDIC ASN.1 data.</t>
        </is>
      </c>
      <c r="F31" t="n">
        <v>8.199999999999999</v>
      </c>
      <c r="G31" s="3" t="inlineStr">
        <is>
          <t>HIGH</t>
        </is>
      </c>
      <c r="H31" s="2" t="inlineStr">
        <is>
          <t>&lt;=1.0.1s</t>
        </is>
      </c>
      <c r="I31" t="inlineStr">
        <is>
          <t>0.9.8zh</t>
        </is>
      </c>
      <c r="J31" t="inlineStr">
        <is>
          <t>3.3.7</t>
        </is>
      </c>
      <c r="K31" s="2" t="inlineStr">
        <is>
          <t>동일 브랜치 최종 버전, 미해결: CVE-2010-4252, CVE-2010-5298, CVE-2011-1945, CVE-2011-4108, CVE-2011-4576 외 13건; 브랜치 변경 시: 3.3.7; 버전 목록 출처: NVD CPE</t>
        </is>
      </c>
      <c r="L31" t="inlineStr">
        <is>
          <t>NVD</t>
        </is>
      </c>
      <c r="M31" t="inlineStr">
        <is>
          <t>2026-10-10T15:04:38+09:00</t>
        </is>
      </c>
    </row>
    <row r="32">
      <c r="A32" t="inlineStr">
        <is>
          <t>52</t>
        </is>
      </c>
      <c r="B32" t="inlineStr">
        <is>
          <t>OpenSSL</t>
        </is>
      </c>
      <c r="C32" t="inlineStr">
        <is>
          <t>0.9.8h</t>
        </is>
      </c>
      <c r="D32" t="inlineStr">
        <is>
          <t>CVE-2010-3864</t>
        </is>
      </c>
      <c r="E32" s="2" t="inlineStr">
        <is>
          <t>Multiple race conditions in ssl/t1_lib.c in OpenSSL 0.9.8f through 0.9.8o, 1.0.0, and 1.0.0a, when multi-threading and internal caching are enabled on a TLS server, might allow remote attackers to execute arbitrary code via client data that triggers a heap-based buffer overflow, related to (1) the TLS server name extension and (2) elliptic curve cryptography.</t>
        </is>
      </c>
      <c r="F32" t="n">
        <v>7.6</v>
      </c>
      <c r="G32" s="3" t="inlineStr">
        <is>
          <t>HIGH</t>
        </is>
      </c>
      <c r="H32" s="2">
        <f>0.9.8h</f>
        <v/>
      </c>
      <c r="I32" t="inlineStr">
        <is>
          <t>0.9.8zh</t>
        </is>
      </c>
      <c r="J32" t="inlineStr">
        <is>
          <t>3.3.7</t>
        </is>
      </c>
      <c r="K32" s="2" t="inlineStr">
        <is>
          <t>동일 브랜치 최종 버전, 미해결: CVE-2010-4252, CVE-2010-5298, CVE-2011-1945, CVE-2011-4108, CVE-2011-4576 외 13건; 브랜치 변경 시: 3.3.7; 버전 목록 출처: NVD CPE</t>
        </is>
      </c>
      <c r="L32" t="inlineStr">
        <is>
          <t>NVD</t>
        </is>
      </c>
      <c r="M32" t="inlineStr">
        <is>
          <t>2026-10-10T15:04:38+09:00</t>
        </is>
      </c>
    </row>
    <row r="33">
      <c r="A33" t="inlineStr">
        <is>
          <t>52</t>
        </is>
      </c>
      <c r="B33" t="inlineStr">
        <is>
          <t>OpenSSL</t>
        </is>
      </c>
      <c r="C33" t="inlineStr">
        <is>
          <t>0.9.8h</t>
        </is>
      </c>
      <c r="D33" t="inlineStr">
        <is>
          <t>CVE-2010-0742</t>
        </is>
      </c>
      <c r="E33" s="2" t="inlineStr">
        <is>
          <t>The Cryptographic Message Syntax (CMS) implementation in crypto/cms/cms_asn1.c in OpenSSL before 0.9.8o and 1.x before 1.0.0a does not properly handle structures that contain OriginatorInfo, which allows context-dependent attackers to modify invalid memory locations or conduct double-free attacks, and possibly execute arbitrary code, via unspecified vectors.</t>
        </is>
      </c>
      <c r="F33" t="n">
        <v>7.5</v>
      </c>
      <c r="G33" s="3" t="inlineStr">
        <is>
          <t>HIGH</t>
        </is>
      </c>
      <c r="H33" s="2">
        <f>0.9.8h; &lt;=0.9.8n</f>
        <v/>
      </c>
      <c r="I33" t="inlineStr">
        <is>
          <t>0.9.8zh</t>
        </is>
      </c>
      <c r="J33" t="inlineStr">
        <is>
          <t>3.3.7</t>
        </is>
      </c>
      <c r="K33" s="2" t="inlineStr">
        <is>
          <t>동일 브랜치 최종 버전, 미해결: CVE-2010-4252, CVE-2010-5298, CVE-2011-1945, CVE-2011-4108, CVE-2011-4576 외 13건; 브랜치 변경 시: 3.3.7; 버전 목록 출처: NVD CPE</t>
        </is>
      </c>
      <c r="L33" t="inlineStr">
        <is>
          <t>NVD</t>
        </is>
      </c>
      <c r="M33" t="inlineStr">
        <is>
          <t>2026-10-10T15:04:38+09:00</t>
        </is>
      </c>
    </row>
    <row r="34">
      <c r="A34" t="inlineStr">
        <is>
          <t>52</t>
        </is>
      </c>
      <c r="B34" t="inlineStr">
        <is>
          <t>OpenSSL</t>
        </is>
      </c>
      <c r="C34" t="inlineStr">
        <is>
          <t>0.9.8h</t>
        </is>
      </c>
      <c r="D34" t="inlineStr">
        <is>
          <t>CVE-2010-4252</t>
        </is>
      </c>
      <c r="E34" s="2" t="inlineStr">
        <is>
          <t>OpenSSL before 1.0.0c, when J-PAKE is enabled, does not properly validate the public parameters in the J-PAKE protocol, which allows remote attackers to bypass the need for knowledge of the shared secret, and successfully authenticate, by sending crafted values in each round of the protocol.</t>
        </is>
      </c>
      <c r="F34" t="n">
        <v>7.5</v>
      </c>
      <c r="G34" s="3" t="inlineStr">
        <is>
          <t>HIGH</t>
        </is>
      </c>
      <c r="H34" s="2">
        <f>0.9.8h; &lt;=1.0.0b</f>
        <v/>
      </c>
      <c r="I34" t="inlineStr">
        <is>
          <t>0.9.8zh</t>
        </is>
      </c>
      <c r="J34" t="inlineStr">
        <is>
          <t>3.3.7</t>
        </is>
      </c>
      <c r="K34" s="2" t="inlineStr">
        <is>
          <t>동일 브랜치 최종 버전, 미해결: CVE-2010-4252, CVE-2010-5298, CVE-2011-1945, CVE-2011-4108, CVE-2011-4576 외 13건; 브랜치 변경 시: 3.3.7; 버전 목록 출처: NVD CPE</t>
        </is>
      </c>
      <c r="L34" t="inlineStr">
        <is>
          <t>NVD</t>
        </is>
      </c>
      <c r="M34" t="inlineStr">
        <is>
          <t>2026-10-10T15:04:38+09:00</t>
        </is>
      </c>
    </row>
    <row r="35">
      <c r="A35" t="inlineStr">
        <is>
          <t>52</t>
        </is>
      </c>
      <c r="B35" t="inlineStr">
        <is>
          <t>OpenSSL</t>
        </is>
      </c>
      <c r="C35" t="inlineStr">
        <is>
          <t>0.9.8h</t>
        </is>
      </c>
      <c r="D35" t="inlineStr">
        <is>
          <t>CVE-2012-2110</t>
        </is>
      </c>
      <c r="E35" s="2" t="inlineStr">
        <is>
          <t>The asn1_d2i_read_bio function in crypto/asn1/a_d2i_fp.c in OpenSSL before 0.9.8v, 1.0.0 before 1.0.0i, and 1.0.1 before 1.0.1a does not properly interpret integer data, which allows remote attackers to conduct buffer overflow attacks, and cause a denial of service (memory corruption) or possibly have unspecified other impact, via crafted DER data, as demonstrated by an X.509 certificate or an RSA public key.</t>
        </is>
      </c>
      <c r="F35" t="n">
        <v>7.5</v>
      </c>
      <c r="G35" s="3" t="inlineStr">
        <is>
          <t>HIGH</t>
        </is>
      </c>
      <c r="H35" s="2">
        <f>0.9.8h; &lt;=0.9.8u</f>
        <v/>
      </c>
      <c r="I35" t="inlineStr">
        <is>
          <t>0.9.8zh</t>
        </is>
      </c>
      <c r="J35" t="inlineStr">
        <is>
          <t>3.3.7</t>
        </is>
      </c>
      <c r="K35" s="2" t="inlineStr">
        <is>
          <t>동일 브랜치 최종 버전, 미해결: CVE-2010-4252, CVE-2010-5298, CVE-2011-1945, CVE-2011-4108, CVE-2011-4576 외 13건; 브랜치 변경 시: 3.3.7; 버전 목록 출처: NVD CPE</t>
        </is>
      </c>
      <c r="L35" t="inlineStr">
        <is>
          <t>NVD</t>
        </is>
      </c>
      <c r="M35" t="inlineStr">
        <is>
          <t>2026-10-10T15:04:38+09:00</t>
        </is>
      </c>
    </row>
    <row r="36">
      <c r="A36" t="inlineStr">
        <is>
          <t>52</t>
        </is>
      </c>
      <c r="B36" t="inlineStr">
        <is>
          <t>OpenSSL</t>
        </is>
      </c>
      <c r="C36" t="inlineStr">
        <is>
          <t>0.9.8h</t>
        </is>
      </c>
      <c r="D36" t="inlineStr">
        <is>
          <t>CVE-2014-8176</t>
        </is>
      </c>
      <c r="E36" s="2" t="inlineStr">
        <is>
          <t>The dtls1_clear_queues function in ssl/d1_lib.c in OpenSSL before 0.9.8za, 1.0.0 before 1.0.0m, and 1.0.1 before 1.0.1h frees data structures without considering that application data can arrive between a ChangeCipherSpec message and a Finished message, which allows remote DTLS peers to cause a denial of service (memory corruption and application crash) or possibly have unspecified other impact via unexpected application data.</t>
        </is>
      </c>
      <c r="F36" t="n">
        <v>7.5</v>
      </c>
      <c r="G36" s="3" t="inlineStr">
        <is>
          <t>HIGH</t>
        </is>
      </c>
      <c r="H36" s="2" t="inlineStr">
        <is>
          <t>&lt;=0.9.8z</t>
        </is>
      </c>
      <c r="I36" t="inlineStr">
        <is>
          <t>0.9.8zh</t>
        </is>
      </c>
      <c r="J36" t="inlineStr">
        <is>
          <t>3.3.7</t>
        </is>
      </c>
      <c r="K36" s="2" t="inlineStr">
        <is>
          <t>동일 브랜치 최종 버전, 미해결: CVE-2010-4252, CVE-2010-5298, CVE-2011-1945, CVE-2011-4108, CVE-2011-4576 외 13건; 브랜치 변경 시: 3.3.7; 버전 목록 출처: NVD CPE</t>
        </is>
      </c>
      <c r="L36" t="inlineStr">
        <is>
          <t>NVD</t>
        </is>
      </c>
      <c r="M36" t="inlineStr">
        <is>
          <t>2026-10-10T15:04:38+09:00</t>
        </is>
      </c>
    </row>
    <row r="37">
      <c r="A37" t="inlineStr">
        <is>
          <t>52</t>
        </is>
      </c>
      <c r="B37" t="inlineStr">
        <is>
          <t>OpenSSL</t>
        </is>
      </c>
      <c r="C37" t="inlineStr">
        <is>
          <t>0.9.8h</t>
        </is>
      </c>
      <c r="D37" t="inlineStr">
        <is>
          <t>CVE-2015-0292</t>
        </is>
      </c>
      <c r="E37" s="2" t="inlineStr">
        <is>
          <t>Integer underflow in the EVP_DecodeUpdate function in crypto/evp/encode.c in the base64-decoding implementation in OpenSSL before 0.9.8za, 1.0.0 before 1.0.0m, and 1.0.1 before 1.0.1h allows remote attackers to cause a denial of service (memory corruption) or possibly have unspecified other impact via crafted base64 data that triggers a buffer overflow.</t>
        </is>
      </c>
      <c r="F37" t="n">
        <v>7.5</v>
      </c>
      <c r="G37" s="3" t="inlineStr">
        <is>
          <t>HIGH</t>
        </is>
      </c>
      <c r="H37" s="2" t="inlineStr">
        <is>
          <t>&lt;=0.9.8z</t>
        </is>
      </c>
      <c r="I37" t="inlineStr">
        <is>
          <t>0.9.8zh</t>
        </is>
      </c>
      <c r="J37" t="inlineStr">
        <is>
          <t>3.3.7</t>
        </is>
      </c>
      <c r="K37" s="2" t="inlineStr">
        <is>
          <t>동일 브랜치 최종 버전, 미해결: CVE-2010-4252, CVE-2010-5298, CVE-2011-1945, CVE-2011-4108, CVE-2011-4576 외 13건; 브랜치 변경 시: 3.3.7; 버전 목록 출처: NVD CPE</t>
        </is>
      </c>
      <c r="L37" t="inlineStr">
        <is>
          <t>NVD</t>
        </is>
      </c>
      <c r="M37" t="inlineStr">
        <is>
          <t>2026-10-10T15:04:38+09:00</t>
        </is>
      </c>
    </row>
    <row r="38">
      <c r="A38" t="inlineStr">
        <is>
          <t>52</t>
        </is>
      </c>
      <c r="B38" t="inlineStr">
        <is>
          <t>OpenSSL</t>
        </is>
      </c>
      <c r="C38" t="inlineStr">
        <is>
          <t>0.9.8h</t>
        </is>
      </c>
      <c r="D38" t="inlineStr">
        <is>
          <t>CVE-2015-1789</t>
        </is>
      </c>
      <c r="E38" s="2" t="inlineStr">
        <is>
          <t>The X509_cmp_time function in crypto/x509/x509_vfy.c in OpenSSL before 0.9.8zg, 1.0.0 before 1.0.0s, 1.0.1 before 1.0.1n, and 1.0.2 before 1.0.2b allows remote attackers to cause a denial of service (out-of-bounds read and application crash) via a crafted length field in ASN1_TIME data, as demonstrated by an attack against a server that supports client authentication with a custom verification callback.</t>
        </is>
      </c>
      <c r="F38" t="n">
        <v>7.5</v>
      </c>
      <c r="G38" s="3" t="inlineStr">
        <is>
          <t>HIGH</t>
        </is>
      </c>
      <c r="H38" s="2" t="inlineStr">
        <is>
          <t>&lt;=0.9.8zf</t>
        </is>
      </c>
      <c r="I38" t="inlineStr">
        <is>
          <t>0.9.8zh</t>
        </is>
      </c>
      <c r="J38" t="inlineStr">
        <is>
          <t>3.3.7</t>
        </is>
      </c>
      <c r="K38" s="2" t="inlineStr">
        <is>
          <t>동일 브랜치 최종 버전, 미해결: CVE-2010-4252, CVE-2010-5298, CVE-2011-1945, CVE-2011-4108, CVE-2011-4576 외 13건; 브랜치 변경 시: 3.3.7; 버전 목록 출처: NVD CPE</t>
        </is>
      </c>
      <c r="L38" t="inlineStr">
        <is>
          <t>NVD</t>
        </is>
      </c>
      <c r="M38" t="inlineStr">
        <is>
          <t>2026-10-10T15:04:38+09:00</t>
        </is>
      </c>
    </row>
    <row r="39">
      <c r="A39" t="inlineStr">
        <is>
          <t>52</t>
        </is>
      </c>
      <c r="B39" t="inlineStr">
        <is>
          <t>OpenSSL</t>
        </is>
      </c>
      <c r="C39" t="inlineStr">
        <is>
          <t>0.9.8h</t>
        </is>
      </c>
      <c r="D39" t="inlineStr">
        <is>
          <t>CVE-2016-2106</t>
        </is>
      </c>
      <c r="E39" s="2" t="inlineStr">
        <is>
          <t>Integer overflow in the EVP_EncryptUpdate function in crypto/evp/evp_enc.c in OpenSSL before 1.0.1t and 1.0.2 before 1.0.2h allows remote attackers to cause a denial of service (heap memory corruption) via a large amount of data.</t>
        </is>
      </c>
      <c r="F39" t="n">
        <v>7.5</v>
      </c>
      <c r="G39" s="3" t="inlineStr">
        <is>
          <t>HIGH</t>
        </is>
      </c>
      <c r="H39" s="2" t="inlineStr">
        <is>
          <t>&lt;=1.0.1s</t>
        </is>
      </c>
      <c r="I39" t="inlineStr">
        <is>
          <t>0.9.8zh</t>
        </is>
      </c>
      <c r="J39" t="inlineStr">
        <is>
          <t>3.3.7</t>
        </is>
      </c>
      <c r="K39" s="2" t="inlineStr">
        <is>
          <t>동일 브랜치 최종 버전, 미해결: CVE-2010-4252, CVE-2010-5298, CVE-2011-1945, CVE-2011-4108, CVE-2011-4576 외 13건; 브랜치 변경 시: 3.3.7; 버전 목록 출처: NVD CPE</t>
        </is>
      </c>
      <c r="L39" t="inlineStr">
        <is>
          <t>NVD</t>
        </is>
      </c>
      <c r="M39" t="inlineStr">
        <is>
          <t>2026-10-10T15:04:38+09:00</t>
        </is>
      </c>
    </row>
    <row r="40">
      <c r="A40" t="inlineStr">
        <is>
          <t>52</t>
        </is>
      </c>
      <c r="B40" t="inlineStr">
        <is>
          <t>OpenSSL</t>
        </is>
      </c>
      <c r="C40" t="inlineStr">
        <is>
          <t>0.9.8h</t>
        </is>
      </c>
      <c r="D40" t="inlineStr">
        <is>
          <t>CVE-2016-2109</t>
        </is>
      </c>
      <c r="E40" s="2" t="inlineStr">
        <is>
          <t>The asn1_d2i_read_bio function in crypto/asn1/a_d2i_fp.c in the ASN.1 BIO implementation in OpenSSL before 1.0.1t and 1.0.2 before 1.0.2h allows remote attackers to cause a denial of service (memory consumption) via a short invalid encoding.</t>
        </is>
      </c>
      <c r="F40" t="n">
        <v>7.5</v>
      </c>
      <c r="G40" s="3" t="inlineStr">
        <is>
          <t>HIGH</t>
        </is>
      </c>
      <c r="H40" s="2" t="inlineStr">
        <is>
          <t>&lt;=1.0.1s</t>
        </is>
      </c>
      <c r="I40" t="inlineStr">
        <is>
          <t>0.9.8zh</t>
        </is>
      </c>
      <c r="J40" t="inlineStr">
        <is>
          <t>3.3.7</t>
        </is>
      </c>
      <c r="K40" s="2" t="inlineStr">
        <is>
          <t>동일 브랜치 최종 버전, 미해결: CVE-2010-4252, CVE-2010-5298, CVE-2011-1945, CVE-2011-4108, CVE-2011-4576 외 13건; 브랜치 변경 시: 3.3.7; 버전 목록 출처: NVD CPE</t>
        </is>
      </c>
      <c r="L40" t="inlineStr">
        <is>
          <t>NVD</t>
        </is>
      </c>
      <c r="M40" t="inlineStr">
        <is>
          <t>2026-10-10T15:04:38+09:00</t>
        </is>
      </c>
    </row>
    <row r="41">
      <c r="A41" t="inlineStr">
        <is>
          <t>52</t>
        </is>
      </c>
      <c r="B41" t="inlineStr">
        <is>
          <t>OpenSSL</t>
        </is>
      </c>
      <c r="C41" t="inlineStr">
        <is>
          <t>0.9.8h</t>
        </is>
      </c>
      <c r="D41" t="inlineStr">
        <is>
          <t>CVE-2021-4044</t>
        </is>
      </c>
      <c r="E41" s="2" t="inlineStr">
        <is>
          <t>Internally libssl in OpenSSL calls X509_verify_cert() on the client side to verify a certificate supplied by a server. That function may return a negative return value to indicate an internal error (for example out of memory). Such a negative return value is mishandled by OpenSSL and will cause an IO function (such as SSL_connect() or SSL_do_handshake()) to not indicate success and a subsequent call to SSL_get_error() to return the value SSL_ERROR_WANT_RETRY_VERIFY. This return value is only supposed to be returned by OpenSSL if the application has previously called SSL_CTX_set_cert_verify_callback(). Since most applications do not do this the SSL_ERROR_WANT_RETRY_VERIFY return value from SSL_get_error() will be totally unexpected and applications may not behave correctly as a result. The exact behaviour will depend on the application but it could result in crashes, infinite loops or other similar incorrect responses. This issue is made more serious in combination with a separate bug in OpenSSL 3.0 that will cause X509_verify_cert() to indicate an internal error when processing a certificate chain. This will occur where a certificate does not include the Subject Alternative Name extension but where a Certificate Authority has enforced name constraints. This issue can occur even with valid chains. By combining the two issues an attacker could induce incorrect, application dependent behaviour. Fixed in OpenSSL 3.0.1 (Affected 3.0.0).</t>
        </is>
      </c>
      <c r="F41" t="n">
        <v>7.5</v>
      </c>
      <c r="G41" s="3" t="inlineStr">
        <is>
          <t>HIGH</t>
        </is>
      </c>
      <c r="H41" s="2" t="inlineStr">
        <is>
          <t>&lt;1.0.2</t>
        </is>
      </c>
      <c r="I41" t="inlineStr">
        <is>
          <t>0.9.8zh</t>
        </is>
      </c>
      <c r="J41" t="inlineStr">
        <is>
          <t>3.3.7</t>
        </is>
      </c>
      <c r="K41" s="2" t="inlineStr">
        <is>
          <t>동일 브랜치 최종 버전, 미해결: CVE-2010-4252, CVE-2010-5298, CVE-2011-1945, CVE-2011-4108, CVE-2011-4576 외 13건; 브랜치 변경 시: 3.3.7; 버전 목록 출처: NVD CPE</t>
        </is>
      </c>
      <c r="L41" t="inlineStr">
        <is>
          <t>NVD</t>
        </is>
      </c>
      <c r="M41" t="inlineStr">
        <is>
          <t>2026-10-10T15:04:38+09:00</t>
        </is>
      </c>
    </row>
    <row r="42">
      <c r="A42" t="inlineStr">
        <is>
          <t>52</t>
        </is>
      </c>
      <c r="B42" t="inlineStr">
        <is>
          <t>OpenSSL</t>
        </is>
      </c>
      <c r="C42" t="inlineStr">
        <is>
          <t>0.9.8h</t>
        </is>
      </c>
      <c r="D42" t="inlineStr">
        <is>
          <t>CVE-2014-0224</t>
        </is>
      </c>
      <c r="E42" s="2" t="inlineStr">
        <is>
          <t>OpenSSL before 0.9.8za, 1.0.0 before 1.0.0m, and 1.0.1 before 1.0.1h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F42" t="n">
        <v>7.4</v>
      </c>
      <c r="G42" s="3" t="inlineStr">
        <is>
          <t>HIGH</t>
        </is>
      </c>
      <c r="H42" s="2" t="inlineStr">
        <is>
          <t>&lt;0.9.8za</t>
        </is>
      </c>
      <c r="I42" t="inlineStr">
        <is>
          <t>0.9.8zh</t>
        </is>
      </c>
      <c r="J42" t="inlineStr">
        <is>
          <t>3.3.7</t>
        </is>
      </c>
      <c r="K42" s="2" t="inlineStr">
        <is>
          <t>동일 브랜치 최종 버전, 미해결: CVE-2010-4252, CVE-2010-5298, CVE-2011-1945, CVE-2011-4108, CVE-2011-4576 외 13건; 브랜치 변경 시: 3.3.7; 버전 목록 출처: NVD CPE</t>
        </is>
      </c>
      <c r="L42" t="inlineStr">
        <is>
          <t>NVD</t>
        </is>
      </c>
      <c r="M42" t="inlineStr">
        <is>
          <t>2026-10-10T15:04:38+09:00</t>
        </is>
      </c>
    </row>
    <row r="43">
      <c r="A43" t="inlineStr">
        <is>
          <t>52</t>
        </is>
      </c>
      <c r="B43" t="inlineStr">
        <is>
          <t>OpenSSL</t>
        </is>
      </c>
      <c r="C43" t="inlineStr">
        <is>
          <t>0.9.8h</t>
        </is>
      </c>
      <c r="D43" t="inlineStr">
        <is>
          <t>CVE-2014-3567</t>
        </is>
      </c>
      <c r="E43" s="2" t="inlineStr">
        <is>
          <t>Memory leak in the tls_decrypt_ticket function in t1_lib.c in OpenSSL before 0.9.8zc, 1.0.0 before 1.0.0o, and 1.0.1 before 1.0.1j allows remote attackers to cause a denial of service (memory consumption) via a crafted session ticket that triggers an integrity-check failure.</t>
        </is>
      </c>
      <c r="F43" t="n">
        <v>7.1</v>
      </c>
      <c r="G43" s="3" t="inlineStr">
        <is>
          <t>HIGH</t>
        </is>
      </c>
      <c r="H43" s="2" t="inlineStr">
        <is>
          <t>&lt;=0.9.8zb</t>
        </is>
      </c>
      <c r="I43" t="inlineStr">
        <is>
          <t>0.9.8zh</t>
        </is>
      </c>
      <c r="J43" t="inlineStr">
        <is>
          <t>3.3.7</t>
        </is>
      </c>
      <c r="K43" s="2" t="inlineStr">
        <is>
          <t>동일 브랜치 최종 버전, 미해결: CVE-2010-4252, CVE-2010-5298, CVE-2011-1945, CVE-2011-4108, CVE-2011-4576 외 13건; 브랜치 변경 시: 3.3.7; 버전 목록 출처: NVD CPE</t>
        </is>
      </c>
      <c r="L43" t="inlineStr">
        <is>
          <t>NVD</t>
        </is>
      </c>
      <c r="M43" t="inlineStr">
        <is>
          <t>2026-10-10T15:04:38+09:00</t>
        </is>
      </c>
    </row>
    <row r="44">
      <c r="A44" t="inlineStr">
        <is>
          <t>52</t>
        </is>
      </c>
      <c r="B44" t="inlineStr">
        <is>
          <t>OpenSSL</t>
        </is>
      </c>
      <c r="C44" t="inlineStr">
        <is>
          <t>0.9.8h</t>
        </is>
      </c>
      <c r="D44" t="inlineStr">
        <is>
          <t>CVE-2012-2333</t>
        </is>
      </c>
      <c r="E44" s="2" t="inlineStr">
        <is>
          <t>Integer underflow in OpenSSL before 0.9.8x, 1.0.0 before 1.0.0j, and 1.0.1 before 1.0.1c, when TLS 1.1, TLS 1.2, or DTLS is used with CBC encryption, allows remote attackers to cause a denial of service (buffer over-read) or possibly have unspecified other impact via a crafted TLS packet that is not properly handled during a certain explicit IV calculation.</t>
        </is>
      </c>
      <c r="F44" t="n">
        <v>6.8</v>
      </c>
      <c r="G44" s="4" t="inlineStr">
        <is>
          <t>MEDIUM</t>
        </is>
      </c>
      <c r="H44" s="2">
        <f>0.9.8h; &lt;=0.9.8w</f>
        <v/>
      </c>
      <c r="I44" t="inlineStr">
        <is>
          <t>0.9.8zh</t>
        </is>
      </c>
      <c r="J44" t="inlineStr">
        <is>
          <t>3.3.7</t>
        </is>
      </c>
      <c r="K44" s="2" t="inlineStr">
        <is>
          <t>동일 브랜치 최종 버전, 미해결: CVE-2010-4252, CVE-2010-5298, CVE-2011-1945, CVE-2011-4108, CVE-2011-4576 외 13건; 브랜치 변경 시: 3.3.7; 버전 목록 출처: NVD CPE</t>
        </is>
      </c>
      <c r="L44" t="inlineStr">
        <is>
          <t>NVD</t>
        </is>
      </c>
      <c r="M44" t="inlineStr">
        <is>
          <t>2026-10-10T15:04:38+09:00</t>
        </is>
      </c>
    </row>
    <row r="45">
      <c r="A45" t="inlineStr">
        <is>
          <t>52</t>
        </is>
      </c>
      <c r="B45" t="inlineStr">
        <is>
          <t>OpenSSL</t>
        </is>
      </c>
      <c r="C45" t="inlineStr">
        <is>
          <t>0.9.8h</t>
        </is>
      </c>
      <c r="D45" t="inlineStr">
        <is>
          <t>CVE-2014-0195</t>
        </is>
      </c>
      <c r="E45" s="2" t="inlineStr">
        <is>
          <t>The dtls1_reassemble_fragment function in d1_both.c in OpenSSL before 0.9.8za, 1.0.0 before 1.0.0m, and 1.0.1 before 1.0.1h does not properly validate fragment lengths in DTLS ClientHello messages, which allows remote attackers to execute arbitrary code or cause a denial of service (buffer overflow and application crash) via a long non-initial fragment.</t>
        </is>
      </c>
      <c r="F45" t="n">
        <v>6.8</v>
      </c>
      <c r="G45" s="4" t="inlineStr">
        <is>
          <t>MEDIUM</t>
        </is>
      </c>
      <c r="H45" s="2" t="inlineStr">
        <is>
          <t>&gt;=0.9.8, &lt;0.9.8za</t>
        </is>
      </c>
      <c r="I45" t="inlineStr">
        <is>
          <t>0.9.8zh</t>
        </is>
      </c>
      <c r="J45" t="inlineStr">
        <is>
          <t>3.3.7</t>
        </is>
      </c>
      <c r="K45" s="2" t="inlineStr">
        <is>
          <t>동일 브랜치 최종 버전, 미해결: CVE-2010-4252, CVE-2010-5298, CVE-2011-1945, CVE-2011-4108, CVE-2011-4576 외 13건; 브랜치 변경 시: 3.3.7; 버전 목록 출처: NVD CPE</t>
        </is>
      </c>
      <c r="L45" t="inlineStr">
        <is>
          <t>NVD</t>
        </is>
      </c>
      <c r="M45" t="inlineStr">
        <is>
          <t>2026-10-10T15:04:38+09:00</t>
        </is>
      </c>
    </row>
    <row r="46">
      <c r="A46" t="inlineStr">
        <is>
          <t>52</t>
        </is>
      </c>
      <c r="B46" t="inlineStr">
        <is>
          <t>OpenSSL</t>
        </is>
      </c>
      <c r="C46" t="inlineStr">
        <is>
          <t>0.9.8h</t>
        </is>
      </c>
      <c r="D46" t="inlineStr">
        <is>
          <t>CVE-2015-0209</t>
        </is>
      </c>
      <c r="E46" s="2" t="inlineStr">
        <is>
          <t>Use-after-free vulnerability in the d2i_ECPrivateKey function in crypto/ec/ec_asn1.c in OpenSSL before 0.9.8zf, 1.0.0 before 1.0.0r, 1.0.1 before 1.0.1m, and 1.0.2 before 1.0.2a might allow remote attackers to cause a denial of service (memory corruption and application crash) or possibly have unspecified other impact via a malformed Elliptic Curve (EC) private-key file that is improperly handled during import.</t>
        </is>
      </c>
      <c r="F46" t="n">
        <v>6.8</v>
      </c>
      <c r="G46" s="4" t="inlineStr">
        <is>
          <t>MEDIUM</t>
        </is>
      </c>
      <c r="H46" s="2" t="inlineStr">
        <is>
          <t>&lt;=0.9.8ze</t>
        </is>
      </c>
      <c r="I46" t="inlineStr">
        <is>
          <t>0.9.8zh</t>
        </is>
      </c>
      <c r="J46" t="inlineStr">
        <is>
          <t>3.3.7</t>
        </is>
      </c>
      <c r="K46" s="2" t="inlineStr">
        <is>
          <t>동일 브랜치 최종 버전, 미해결: CVE-2010-4252, CVE-2010-5298, CVE-2011-1945, CVE-2011-4108, CVE-2011-4576 외 13건; 브랜치 변경 시: 3.3.7; 버전 목록 출처: NVD CPE</t>
        </is>
      </c>
      <c r="L46" t="inlineStr">
        <is>
          <t>NVD</t>
        </is>
      </c>
      <c r="M46" t="inlineStr">
        <is>
          <t>2026-10-10T15:04:38+09:00</t>
        </is>
      </c>
    </row>
    <row r="47">
      <c r="A47" t="inlineStr">
        <is>
          <t>52</t>
        </is>
      </c>
      <c r="B47" t="inlineStr">
        <is>
          <t>OpenSSL</t>
        </is>
      </c>
      <c r="C47" t="inlineStr">
        <is>
          <t>0.9.8h</t>
        </is>
      </c>
      <c r="D47" t="inlineStr">
        <is>
          <t>CVE-2015-1791</t>
        </is>
      </c>
      <c r="E47" s="2" t="inlineStr">
        <is>
          <t>Race condition in the ssl3_get_new_session_ticket function in ssl/s3_clnt.c in OpenSSL before 0.9.8zg, 1.0.0 before 1.0.0s, 1.0.1 before 1.0.1n, and 1.0.2 before 1.0.2b, when used for a multi-threaded client, allows remote attackers to cause a denial of service (double free and application crash) or possibly have unspecified other impact by providing a NewSessionTicket during an attempt to reuse a ticket that had been obtained earlier.</t>
        </is>
      </c>
      <c r="F47" t="n">
        <v>6.8</v>
      </c>
      <c r="G47" s="4" t="inlineStr">
        <is>
          <t>MEDIUM</t>
        </is>
      </c>
      <c r="H47" s="2" t="inlineStr">
        <is>
          <t>&lt;=0.9.8zf</t>
        </is>
      </c>
      <c r="I47" t="inlineStr">
        <is>
          <t>0.9.8zh</t>
        </is>
      </c>
      <c r="J47" t="inlineStr">
        <is>
          <t>3.3.7</t>
        </is>
      </c>
      <c r="K47" s="2" t="inlineStr">
        <is>
          <t>동일 브랜치 최종 버전, 미해결: CVE-2010-4252, CVE-2010-5298, CVE-2011-1945, CVE-2011-4108, CVE-2011-4576 외 13건; 브랜치 변경 시: 3.3.7; 버전 목록 출처: NVD CPE</t>
        </is>
      </c>
      <c r="L47" t="inlineStr">
        <is>
          <t>NVD</t>
        </is>
      </c>
      <c r="M47" t="inlineStr">
        <is>
          <t>2026-10-10T15:04:38+09:00</t>
        </is>
      </c>
    </row>
    <row r="48">
      <c r="A48" t="inlineStr">
        <is>
          <t>52</t>
        </is>
      </c>
      <c r="B48" t="inlineStr">
        <is>
          <t>OpenSSL</t>
        </is>
      </c>
      <c r="C48" t="inlineStr">
        <is>
          <t>0.9.8h</t>
        </is>
      </c>
      <c r="D48" t="inlineStr">
        <is>
          <t>CVE-2016-0703</t>
        </is>
      </c>
      <c r="E48" s="2" t="inlineStr">
        <is>
          <t>The get_client_master_key function in s2_srvr.c in the SSLv2 implementation in OpenSSL before 0.9.8zf, 1.0.0 before 1.0.0r, 1.0.1 before 1.0.1m, and 1.0.2 before 1.0.2a accepts a nonzero CLIENT-MASTER-KEY CLEAR-KEY-LENGTH value for an arbitrary cipher, which allows man-in-the-middle attackers to determine the MASTER-KEY value and decrypt TLS ciphertext data by leveraging a Bleichenbacher RSA padding oracle, a related issue to CVE-2016-0800.</t>
        </is>
      </c>
      <c r="F48" t="n">
        <v>5.9</v>
      </c>
      <c r="G48" s="4" t="inlineStr">
        <is>
          <t>MEDIUM</t>
        </is>
      </c>
      <c r="H48" s="2" t="inlineStr">
        <is>
          <t>&lt;=0.9.8ze</t>
        </is>
      </c>
      <c r="I48" t="inlineStr">
        <is>
          <t>0.9.8zh</t>
        </is>
      </c>
      <c r="J48" t="inlineStr">
        <is>
          <t>3.3.7</t>
        </is>
      </c>
      <c r="K48" s="2" t="inlineStr">
        <is>
          <t>동일 브랜치 최종 버전, 미해결: CVE-2010-4252, CVE-2010-5298, CVE-2011-1945, CVE-2011-4108, CVE-2011-4576 외 13건; 브랜치 변경 시: 3.3.7; 버전 목록 출처: NVD CPE</t>
        </is>
      </c>
      <c r="L48" t="inlineStr">
        <is>
          <t>NVD</t>
        </is>
      </c>
      <c r="M48" t="inlineStr">
        <is>
          <t>2026-10-10T15:04:38+09:00</t>
        </is>
      </c>
    </row>
    <row r="49">
      <c r="A49" t="inlineStr">
        <is>
          <t>52</t>
        </is>
      </c>
      <c r="B49" t="inlineStr">
        <is>
          <t>OpenSSL</t>
        </is>
      </c>
      <c r="C49" t="inlineStr">
        <is>
          <t>0.9.8h</t>
        </is>
      </c>
      <c r="D49" t="inlineStr">
        <is>
          <t>CVE-2016-0704</t>
        </is>
      </c>
      <c r="E49" s="2" t="inlineStr">
        <is>
          <t>An oracle protection mechanism in the get_client_master_key function in s2_srvr.c in the SSLv2 implementation in OpenSSL before 0.9.8zf, 1.0.0 before 1.0.0r, 1.0.1 before 1.0.1m, and 1.0.2 before 1.0.2a overwrites incorrect MASTER-KEY bytes during use of export cipher suites, which makes it easier for remote attackers to decrypt TLS ciphertext data by leveraging a Bleichenbacher RSA padding oracle, a related issue to CVE-2016-0800.</t>
        </is>
      </c>
      <c r="F49" t="n">
        <v>5.9</v>
      </c>
      <c r="G49" s="4" t="inlineStr">
        <is>
          <t>MEDIUM</t>
        </is>
      </c>
      <c r="H49" s="2" t="inlineStr">
        <is>
          <t>&lt;=0.9.8ze</t>
        </is>
      </c>
      <c r="I49" t="inlineStr">
        <is>
          <t>0.9.8zh</t>
        </is>
      </c>
      <c r="J49" t="inlineStr">
        <is>
          <t>3.3.7</t>
        </is>
      </c>
      <c r="K49" s="2" t="inlineStr">
        <is>
          <t>동일 브랜치 최종 버전, 미해결: CVE-2010-4252, CVE-2010-5298, CVE-2011-1945, CVE-2011-4108, CVE-2011-4576 외 13건; 브랜치 변경 시: 3.3.7; 버전 목록 출처: NVD CPE</t>
        </is>
      </c>
      <c r="L49" t="inlineStr">
        <is>
          <t>NVD</t>
        </is>
      </c>
      <c r="M49" t="inlineStr">
        <is>
          <t>2026-10-10T15:04:38+09:00</t>
        </is>
      </c>
    </row>
    <row r="50">
      <c r="A50" t="inlineStr">
        <is>
          <t>52</t>
        </is>
      </c>
      <c r="B50" t="inlineStr">
        <is>
          <t>OpenSSL</t>
        </is>
      </c>
      <c r="C50" t="inlineStr">
        <is>
          <t>0.9.8h</t>
        </is>
      </c>
      <c r="D50" t="inlineStr">
        <is>
          <t>CVE-2016-2107</t>
        </is>
      </c>
      <c r="E50" s="2" t="inlineStr">
        <is>
          <t>The AES-NI implementation in OpenSSL before 1.0.1t and 1.0.2 before 1.0.2h does not consider memory allocation during a certain padding check, which allows remote attackers to obtain sensitive cleartext information via a padding-oracle attack against an AES CBC session. NOTE: this vulnerability exists because of an incorrect fix for CVE-2013-0169.</t>
        </is>
      </c>
      <c r="F50" t="n">
        <v>5.9</v>
      </c>
      <c r="G50" s="4" t="inlineStr">
        <is>
          <t>MEDIUM</t>
        </is>
      </c>
      <c r="H50" s="2" t="inlineStr">
        <is>
          <t>&lt;=1.0.1s</t>
        </is>
      </c>
      <c r="I50" t="inlineStr">
        <is>
          <t>0.9.8zh</t>
        </is>
      </c>
      <c r="J50" t="inlineStr">
        <is>
          <t>3.3.7</t>
        </is>
      </c>
      <c r="K50" s="2" t="inlineStr">
        <is>
          <t>동일 브랜치 최종 버전, 미해결: CVE-2010-4252, CVE-2010-5298, CVE-2011-1945, CVE-2011-4108, CVE-2011-4576 외 13건; 브랜치 변경 시: 3.3.7; 버전 목록 출처: NVD CPE</t>
        </is>
      </c>
      <c r="L50" t="inlineStr">
        <is>
          <t>NVD</t>
        </is>
      </c>
      <c r="M50" t="inlineStr">
        <is>
          <t>2026-10-10T15:04:38+09:00</t>
        </is>
      </c>
    </row>
    <row r="51">
      <c r="A51" t="inlineStr">
        <is>
          <t>52</t>
        </is>
      </c>
      <c r="B51" t="inlineStr">
        <is>
          <t>OpenSSL</t>
        </is>
      </c>
      <c r="C51" t="inlineStr">
        <is>
          <t>0.9.8h</t>
        </is>
      </c>
      <c r="D51" t="inlineStr">
        <is>
          <t>CVE-2008-5077</t>
        </is>
      </c>
      <c r="E51" s="2" t="inlineStr">
        <is>
          <t>OpenSSL 0.9.8i and earlier does not properly check the return value from the EVP_VerifyFinal function, which allows remote attackers to bypass validation of the certificate chain via a malformed SSL/TLS signature for DSA and ECDSA keys.</t>
        </is>
      </c>
      <c r="F51" t="n">
        <v>5.8</v>
      </c>
      <c r="G51" s="4" t="inlineStr">
        <is>
          <t>MEDIUM</t>
        </is>
      </c>
      <c r="H51" s="2" t="inlineStr">
        <is>
          <t>&lt;=0.9.8h</t>
        </is>
      </c>
      <c r="I51" t="inlineStr">
        <is>
          <t>0.9.8zh</t>
        </is>
      </c>
      <c r="J51" t="inlineStr">
        <is>
          <t>3.3.7</t>
        </is>
      </c>
      <c r="K51" s="2" t="inlineStr">
        <is>
          <t>동일 브랜치 최종 버전, 미해결: CVE-2010-4252, CVE-2010-5298, CVE-2011-1945, CVE-2011-4108, CVE-2011-4576 외 13건; 브랜치 변경 시: 3.3.7; 버전 목록 출처: NVD CPE</t>
        </is>
      </c>
      <c r="L51" t="inlineStr">
        <is>
          <t>NVD</t>
        </is>
      </c>
      <c r="M51" t="inlineStr">
        <is>
          <t>2026-10-10T15:04:38+09:00</t>
        </is>
      </c>
    </row>
    <row r="52">
      <c r="A52" t="inlineStr">
        <is>
          <t>52</t>
        </is>
      </c>
      <c r="B52" t="inlineStr">
        <is>
          <t>OpenSSL</t>
        </is>
      </c>
      <c r="C52" t="inlineStr">
        <is>
          <t>0.9.8h</t>
        </is>
      </c>
      <c r="D52" t="inlineStr">
        <is>
          <t>CVE-2016-7056</t>
        </is>
      </c>
      <c r="E52" s="2" t="inlineStr">
        <is>
          <t>A timing attack flaw was found in OpenSSL 1.0.1u and before that could allow a malicious user with local access to recover ECDSA P-256 private keys.</t>
        </is>
      </c>
      <c r="F52" t="n">
        <v>5.5</v>
      </c>
      <c r="G52" s="4" t="inlineStr">
        <is>
          <t>MEDIUM</t>
        </is>
      </c>
      <c r="H52" s="2" t="inlineStr">
        <is>
          <t>&lt;=1.0.1u</t>
        </is>
      </c>
      <c r="I52" t="inlineStr">
        <is>
          <t>0.9.8zh</t>
        </is>
      </c>
      <c r="J52" t="inlineStr">
        <is>
          <t>3.3.7</t>
        </is>
      </c>
      <c r="K52" s="2" t="inlineStr">
        <is>
          <t>동일 브랜치 최종 버전, 미해결: CVE-2010-4252, CVE-2010-5298, CVE-2011-1945, CVE-2011-4108, CVE-2011-4576 외 13건; 브랜치 변경 시: 3.3.7; 버전 목록 출처: NVD CPE</t>
        </is>
      </c>
      <c r="L52" t="inlineStr">
        <is>
          <t>NVD</t>
        </is>
      </c>
      <c r="M52" t="inlineStr">
        <is>
          <t>2026-10-10T15:04:38+09:00</t>
        </is>
      </c>
    </row>
    <row r="53">
      <c r="A53" t="inlineStr">
        <is>
          <t>52</t>
        </is>
      </c>
      <c r="B53" t="inlineStr">
        <is>
          <t>OpenSSL</t>
        </is>
      </c>
      <c r="C53" t="inlineStr">
        <is>
          <t>0.9.8h</t>
        </is>
      </c>
      <c r="D53" t="inlineStr">
        <is>
          <t>CVE-2015-3195</t>
        </is>
      </c>
      <c r="E53" s="2" t="inlineStr">
        <is>
          <t>The ASN1_TFLG_COMBINE implementation in crypto/asn1/tasn_dec.c in OpenSSL before 0.9.8zh, 1.0.0 before 1.0.0t, 1.0.1 before 1.0.1q, and 1.0.2 before 1.0.2e mishandles errors caused by malformed X509_ATTRIBUTE data, which allows remote attackers to obtain sensitive information from process memory by triggering a decoding failure in a PKCS#7 or CMS application.</t>
        </is>
      </c>
      <c r="F53" t="n">
        <v>5.3</v>
      </c>
      <c r="G53" s="4" t="inlineStr">
        <is>
          <t>MEDIUM</t>
        </is>
      </c>
      <c r="H53" s="2" t="inlineStr">
        <is>
          <t>&lt;0.9.8zh</t>
        </is>
      </c>
      <c r="I53" t="inlineStr">
        <is>
          <t>0.9.8zh</t>
        </is>
      </c>
      <c r="J53" t="inlineStr">
        <is>
          <t>3.3.7</t>
        </is>
      </c>
      <c r="K53" s="2" t="inlineStr">
        <is>
          <t>동일 브랜치 최종 버전, 미해결: CVE-2010-4252, CVE-2010-5298, CVE-2011-1945, CVE-2011-4108, CVE-2011-4576 외 13건; 브랜치 변경 시: 3.3.7; 버전 목록 출처: NVD CPE</t>
        </is>
      </c>
      <c r="L53" t="inlineStr">
        <is>
          <t>NVD</t>
        </is>
      </c>
      <c r="M53" t="inlineStr">
        <is>
          <t>2026-10-10T15:04:38+09:00</t>
        </is>
      </c>
    </row>
    <row r="54">
      <c r="A54" t="inlineStr">
        <is>
          <t>52</t>
        </is>
      </c>
      <c r="B54" t="inlineStr">
        <is>
          <t>OpenSSL</t>
        </is>
      </c>
      <c r="C54" t="inlineStr">
        <is>
          <t>0.9.8h</t>
        </is>
      </c>
      <c r="D54" t="inlineStr">
        <is>
          <t>CVE-2017-3735</t>
        </is>
      </c>
      <c r="E54" s="2" t="inlineStr">
        <is>
          <t>While parsing an IPAddressFamily extension in an X.509 certificate, it is possible to do a one-byte overread. This would result in an incorrect text display of the certificate. This bug has been present since 2006 and is present in all versions of OpenSSL before 1.0.2m and 1.1.0g.</t>
        </is>
      </c>
      <c r="F54" t="n">
        <v>5.3</v>
      </c>
      <c r="G54" s="4" t="inlineStr">
        <is>
          <t>MEDIUM</t>
        </is>
      </c>
      <c r="H54" s="2">
        <f>0.9.8h</f>
        <v/>
      </c>
      <c r="I54" t="inlineStr">
        <is>
          <t>0.9.8zh</t>
        </is>
      </c>
      <c r="J54" t="inlineStr">
        <is>
          <t>3.3.7</t>
        </is>
      </c>
      <c r="K54" s="2" t="inlineStr">
        <is>
          <t>동일 브랜치 최종 버전, 미해결: CVE-2010-4252, CVE-2010-5298, CVE-2011-1945, CVE-2011-4108, CVE-2011-4576 외 13건; 브랜치 변경 시: 3.3.7; 버전 목록 출처: NVD CPE</t>
        </is>
      </c>
      <c r="L54" t="inlineStr">
        <is>
          <t>NVD</t>
        </is>
      </c>
      <c r="M54" t="inlineStr">
        <is>
          <t>2026-10-10T15:04:38+09:00</t>
        </is>
      </c>
    </row>
    <row r="55">
      <c r="A55" t="inlineStr">
        <is>
          <t>52</t>
        </is>
      </c>
      <c r="B55" t="inlineStr">
        <is>
          <t>OpenSSL</t>
        </is>
      </c>
      <c r="C55" t="inlineStr">
        <is>
          <t>0.9.8h</t>
        </is>
      </c>
      <c r="D55" t="inlineStr">
        <is>
          <t>CVE-2009-2409</t>
        </is>
      </c>
      <c r="E55" s="2" t="inlineStr">
        <is>
          <t>The Network Security Services (NSS) library before 3.12.3, as used in Firefox; GnuTLS before 2.6.4 and 2.7.4; OpenSSL 0.9.8 through 0.9.8k; and other products support MD2 with X.509 certificates, which might allow remote attackers to spoof certificates by using MD2 design flaws to generate a hash collision in less than brute-force time.  NOTE: the scope of this issue is currently limited because the amount of computation required is still large.</t>
        </is>
      </c>
      <c r="F55" t="n">
        <v>5.1</v>
      </c>
      <c r="G55" s="4" t="inlineStr">
        <is>
          <t>MEDIUM</t>
        </is>
      </c>
      <c r="H55" s="2" t="inlineStr">
        <is>
          <t>&gt;=0.9.8, &lt;=0.9.8k</t>
        </is>
      </c>
      <c r="I55" t="inlineStr">
        <is>
          <t>0.9.8zh</t>
        </is>
      </c>
      <c r="J55" t="inlineStr">
        <is>
          <t>3.3.7</t>
        </is>
      </c>
      <c r="K55" s="2" t="inlineStr">
        <is>
          <t>동일 브랜치 최종 버전, 미해결: CVE-2010-4252, CVE-2010-5298, CVE-2011-1945, CVE-2011-4108, CVE-2011-4576 외 13건; 브랜치 변경 시: 3.3.7; 버전 목록 출처: NVD CPE</t>
        </is>
      </c>
      <c r="L55" t="inlineStr">
        <is>
          <t>NVD</t>
        </is>
      </c>
      <c r="M55" t="inlineStr">
        <is>
          <t>2026-10-10T15:04:38+09:00</t>
        </is>
      </c>
    </row>
    <row r="56">
      <c r="A56" t="inlineStr">
        <is>
          <t>52</t>
        </is>
      </c>
      <c r="B56" t="inlineStr">
        <is>
          <t>OpenSSL</t>
        </is>
      </c>
      <c r="C56" t="inlineStr">
        <is>
          <t>0.9.8h</t>
        </is>
      </c>
      <c r="D56" t="inlineStr">
        <is>
          <t>CVE-2006-7250</t>
        </is>
      </c>
      <c r="E56" s="2" t="inlineStr">
        <is>
          <t>The mime_hdr_cmp function in crypto/asn1/asn_mime.c in OpenSSL 0.9.8t and earlier allows remote attackers to cause a denial of service (NULL pointer dereference and application crash) via a crafted S/MIME message.</t>
        </is>
      </c>
      <c r="F56" t="n">
        <v>5</v>
      </c>
      <c r="G56" s="4" t="inlineStr">
        <is>
          <t>MEDIUM</t>
        </is>
      </c>
      <c r="H56" s="2">
        <f>0.9.8h; &lt;=0.9.8t</f>
        <v/>
      </c>
      <c r="I56" t="inlineStr">
        <is>
          <t>0.9.8zh</t>
        </is>
      </c>
      <c r="J56" t="inlineStr">
        <is>
          <t>3.3.7</t>
        </is>
      </c>
      <c r="K56" s="2" t="inlineStr">
        <is>
          <t>동일 브랜치 최종 버전, 미해결: CVE-2010-4252, CVE-2010-5298, CVE-2011-1945, CVE-2011-4108, CVE-2011-4576 외 13건; 브랜치 변경 시: 3.3.7; 버전 목록 출처: NVD CPE</t>
        </is>
      </c>
      <c r="L56" t="inlineStr">
        <is>
          <t>NVD</t>
        </is>
      </c>
      <c r="M56" t="inlineStr">
        <is>
          <t>2026-10-10T15:04:38+09:00</t>
        </is>
      </c>
    </row>
    <row r="57">
      <c r="A57" t="inlineStr">
        <is>
          <t>52</t>
        </is>
      </c>
      <c r="B57" t="inlineStr">
        <is>
          <t>OpenSSL</t>
        </is>
      </c>
      <c r="C57" t="inlineStr">
        <is>
          <t>0.9.8h</t>
        </is>
      </c>
      <c r="D57" t="inlineStr">
        <is>
          <t>CVE-2008-1678</t>
        </is>
      </c>
      <c r="E57" s="2" t="inlineStr">
        <is>
          <t>Memory leak in the zlib_stateful_init function in crypto/comp/c_zlib.c in libssl in OpenSSL 0.9.8f through 0.9.8h allows remote attackers to cause a denial of service (memory consumption) via multiple calls, as demonstrated by initial SSL client handshakes to the Apache HTTP Server mod_ssl that specify a compression algorithm.</t>
        </is>
      </c>
      <c r="F57" t="n">
        <v>5</v>
      </c>
      <c r="G57" s="4" t="inlineStr">
        <is>
          <t>MEDIUM</t>
        </is>
      </c>
      <c r="H57" s="2">
        <f>0.9.8h</f>
        <v/>
      </c>
      <c r="I57" t="inlineStr">
        <is>
          <t>0.9.8zh</t>
        </is>
      </c>
      <c r="J57" t="inlineStr">
        <is>
          <t>3.3.7</t>
        </is>
      </c>
      <c r="K57" s="2" t="inlineStr">
        <is>
          <t>동일 브랜치 최종 버전, 미해결: CVE-2010-4252, CVE-2010-5298, CVE-2011-1945, CVE-2011-4108, CVE-2011-4576 외 13건; 브랜치 변경 시: 3.3.7; 버전 목록 출처: NVD CPE</t>
        </is>
      </c>
      <c r="L57" t="inlineStr">
        <is>
          <t>NVD</t>
        </is>
      </c>
      <c r="M57" t="inlineStr">
        <is>
          <t>2026-10-10T15:04:38+09:00</t>
        </is>
      </c>
    </row>
    <row r="58">
      <c r="A58" t="inlineStr">
        <is>
          <t>52</t>
        </is>
      </c>
      <c r="B58" t="inlineStr">
        <is>
          <t>OpenSSL</t>
        </is>
      </c>
      <c r="C58" t="inlineStr">
        <is>
          <t>0.9.8h</t>
        </is>
      </c>
      <c r="D58" t="inlineStr">
        <is>
          <t>CVE-2009-0590</t>
        </is>
      </c>
      <c r="E58" s="2" t="inlineStr">
        <is>
          <t>The ASN1_STRING_print_ex function in OpenSSL before 0.9.8k allows remote attackers to cause a denial of service (invalid memory access and application crash) via vectors that trigger printing of a (1) BMPString or (2) UniversalString with an invalid encoded length.</t>
        </is>
      </c>
      <c r="F58" t="n">
        <v>5</v>
      </c>
      <c r="G58" s="4" t="inlineStr">
        <is>
          <t>MEDIUM</t>
        </is>
      </c>
      <c r="H58" s="2" t="inlineStr">
        <is>
          <t>&lt;0.9.8k</t>
        </is>
      </c>
      <c r="I58" t="inlineStr">
        <is>
          <t>0.9.8zh</t>
        </is>
      </c>
      <c r="J58" t="inlineStr">
        <is>
          <t>3.3.7</t>
        </is>
      </c>
      <c r="K58" s="2" t="inlineStr">
        <is>
          <t>동일 브랜치 최종 버전, 미해결: CVE-2010-4252, CVE-2010-5298, CVE-2011-1945, CVE-2011-4108, CVE-2011-4576 외 13건; 브랜치 변경 시: 3.3.7; 버전 목록 출처: NVD CPE</t>
        </is>
      </c>
      <c r="L58" t="inlineStr">
        <is>
          <t>NVD</t>
        </is>
      </c>
      <c r="M58" t="inlineStr">
        <is>
          <t>2026-10-10T15:04:38+09:00</t>
        </is>
      </c>
    </row>
    <row r="59">
      <c r="A59" t="inlineStr">
        <is>
          <t>52</t>
        </is>
      </c>
      <c r="B59" t="inlineStr">
        <is>
          <t>OpenSSL</t>
        </is>
      </c>
      <c r="C59" t="inlineStr">
        <is>
          <t>0.9.8h</t>
        </is>
      </c>
      <c r="D59" t="inlineStr">
        <is>
          <t>CVE-2009-0789</t>
        </is>
      </c>
      <c r="E59" s="2" t="inlineStr">
        <is>
          <t>OpenSSL before 0.9.8k on WIN64 and certain other platforms does not properly handle a malformed ASN.1 structure, which allows remote attackers to cause a denial of service (invalid memory access and application crash) by placing this structure in the public key of a certificate, as demonstrated by an RSA public key.</t>
        </is>
      </c>
      <c r="F59" t="n">
        <v>5</v>
      </c>
      <c r="G59" s="4" t="inlineStr">
        <is>
          <t>MEDIUM</t>
        </is>
      </c>
      <c r="H59" s="2">
        <f>0.9.8h; &lt;=0.9.8j</f>
        <v/>
      </c>
      <c r="I59" t="inlineStr">
        <is>
          <t>0.9.8zh</t>
        </is>
      </c>
      <c r="J59" t="inlineStr">
        <is>
          <t>3.3.7</t>
        </is>
      </c>
      <c r="K59" s="2" t="inlineStr">
        <is>
          <t>동일 브랜치 최종 버전, 미해결: CVE-2010-4252, CVE-2010-5298, CVE-2011-1945, CVE-2011-4108, CVE-2011-4576 외 13건; 브랜치 변경 시: 3.3.7; 버전 목록 출처: NVD CPE</t>
        </is>
      </c>
      <c r="L59" t="inlineStr">
        <is>
          <t>NVD</t>
        </is>
      </c>
      <c r="M59" t="inlineStr">
        <is>
          <t>2026-10-10T15:04:38+09:00</t>
        </is>
      </c>
    </row>
    <row r="60">
      <c r="A60" t="inlineStr">
        <is>
          <t>52</t>
        </is>
      </c>
      <c r="B60" t="inlineStr">
        <is>
          <t>OpenSSL</t>
        </is>
      </c>
      <c r="C60" t="inlineStr">
        <is>
          <t>0.9.8h</t>
        </is>
      </c>
      <c r="D60" t="inlineStr">
        <is>
          <t>CVE-2009-1377</t>
        </is>
      </c>
      <c r="E60" s="2" t="inlineStr">
        <is>
          <t>The dtls1_buffer_record function in ssl/d1_pkt.c in OpenSSL 0.9.8k and earlier 0.9.8 versions allows remote attackers to cause a denial of service (memory consumption) via a large series of "future epoch" DTLS records that are buffered in a queue, aka "DTLS record buffer limitation bug."</t>
        </is>
      </c>
      <c r="F60" t="n">
        <v>5</v>
      </c>
      <c r="G60" s="4" t="inlineStr">
        <is>
          <t>MEDIUM</t>
        </is>
      </c>
      <c r="H60" s="2" t="inlineStr">
        <is>
          <t>&gt;=0.9.8, &lt;0.9.8m</t>
        </is>
      </c>
      <c r="I60" t="inlineStr">
        <is>
          <t>0.9.8zh</t>
        </is>
      </c>
      <c r="J60" t="inlineStr">
        <is>
          <t>3.3.7</t>
        </is>
      </c>
      <c r="K60" s="2" t="inlineStr">
        <is>
          <t>동일 브랜치 최종 버전, 미해결: CVE-2010-4252, CVE-2010-5298, CVE-2011-1945, CVE-2011-4108, CVE-2011-4576 외 13건; 브랜치 변경 시: 3.3.7; 버전 목록 출처: NVD CPE</t>
        </is>
      </c>
      <c r="L60" t="inlineStr">
        <is>
          <t>NVD</t>
        </is>
      </c>
      <c r="M60" t="inlineStr">
        <is>
          <t>2026-10-10T15:04:38+09:00</t>
        </is>
      </c>
    </row>
    <row r="61">
      <c r="A61" t="inlineStr">
        <is>
          <t>52</t>
        </is>
      </c>
      <c r="B61" t="inlineStr">
        <is>
          <t>OpenSSL</t>
        </is>
      </c>
      <c r="C61" t="inlineStr">
        <is>
          <t>0.9.8h</t>
        </is>
      </c>
      <c r="D61" t="inlineStr">
        <is>
          <t>CVE-2009-1378</t>
        </is>
      </c>
      <c r="E61" s="2" t="inlineStr">
        <is>
          <t>Multiple memory leaks in the dtls1_process_out_of_seq_message function in ssl/d1_both.c in OpenSSL 0.9.8k and earlier 0.9.8 versions allow remote attackers to cause a denial of service (memory consumption) via DTLS records that (1) are duplicates or (2) have sequence numbers much greater than current sequence numbers, aka "DTLS fragment handling memory leak."</t>
        </is>
      </c>
      <c r="F61" t="n">
        <v>5</v>
      </c>
      <c r="G61" s="4" t="inlineStr">
        <is>
          <t>MEDIUM</t>
        </is>
      </c>
      <c r="H61" s="2" t="inlineStr">
        <is>
          <t>&gt;0.9.8, &lt;0.9.8m</t>
        </is>
      </c>
      <c r="I61" t="inlineStr">
        <is>
          <t>0.9.8zh</t>
        </is>
      </c>
      <c r="J61" t="inlineStr">
        <is>
          <t>3.3.7</t>
        </is>
      </c>
      <c r="K61" s="2" t="inlineStr">
        <is>
          <t>동일 브랜치 최종 버전, 미해결: CVE-2010-4252, CVE-2010-5298, CVE-2011-1945, CVE-2011-4108, CVE-2011-4576 외 13건; 브랜치 변경 시: 3.3.7; 버전 목록 출처: NVD CPE</t>
        </is>
      </c>
      <c r="L61" t="inlineStr">
        <is>
          <t>NVD</t>
        </is>
      </c>
      <c r="M61" t="inlineStr">
        <is>
          <t>2026-10-10T15:04:38+09:00</t>
        </is>
      </c>
    </row>
    <row r="62">
      <c r="A62" t="inlineStr">
        <is>
          <t>52</t>
        </is>
      </c>
      <c r="B62" t="inlineStr">
        <is>
          <t>OpenSSL</t>
        </is>
      </c>
      <c r="C62" t="inlineStr">
        <is>
          <t>0.9.8h</t>
        </is>
      </c>
      <c r="D62" t="inlineStr">
        <is>
          <t>CVE-2009-1386</t>
        </is>
      </c>
      <c r="E62" s="2" t="inlineStr">
        <is>
          <t>ssl/s3_pkt.c in OpenSSL before 0.9.8i allows remote attackers to cause a denial of service (NULL pointer dereference and daemon crash) via a DTLS ChangeCipherSpec packet that occurs before ClientHello.</t>
        </is>
      </c>
      <c r="F62" t="n">
        <v>5</v>
      </c>
      <c r="G62" s="4" t="inlineStr">
        <is>
          <t>MEDIUM</t>
        </is>
      </c>
      <c r="H62" s="2" t="inlineStr">
        <is>
          <t>&gt;0.9.8, &lt;0.9.8i</t>
        </is>
      </c>
      <c r="I62" t="inlineStr">
        <is>
          <t>0.9.8zh</t>
        </is>
      </c>
      <c r="J62" t="inlineStr">
        <is>
          <t>3.3.7</t>
        </is>
      </c>
      <c r="K62" s="2" t="inlineStr">
        <is>
          <t>동일 브랜치 최종 버전, 미해결: CVE-2010-4252, CVE-2010-5298, CVE-2011-1945, CVE-2011-4108, CVE-2011-4576 외 13건; 브랜치 변경 시: 3.3.7; 버전 목록 출처: NVD CPE</t>
        </is>
      </c>
      <c r="L62" t="inlineStr">
        <is>
          <t>NVD</t>
        </is>
      </c>
      <c r="M62" t="inlineStr">
        <is>
          <t>2026-10-10T15:04:38+09:00</t>
        </is>
      </c>
    </row>
    <row r="63">
      <c r="A63" t="inlineStr">
        <is>
          <t>52</t>
        </is>
      </c>
      <c r="B63" t="inlineStr">
        <is>
          <t>OpenSSL</t>
        </is>
      </c>
      <c r="C63" t="inlineStr">
        <is>
          <t>0.9.8h</t>
        </is>
      </c>
      <c r="D63" t="inlineStr">
        <is>
          <t>CVE-2009-1387</t>
        </is>
      </c>
      <c r="E63" s="2" t="inlineStr">
        <is>
          <t>The dtls1_retrieve_buffered_fragment function in ssl/d1_both.c in OpenSSL before 1.0.0 Beta 2 allows remote attackers to cause a denial of service (NULL pointer dereference and daemon crash) via an out-of-sequence DTLS handshake message, related to a "fragment bug."</t>
        </is>
      </c>
      <c r="F63" t="n">
        <v>5</v>
      </c>
      <c r="G63" s="4" t="inlineStr">
        <is>
          <t>MEDIUM</t>
        </is>
      </c>
      <c r="H63" s="2" t="inlineStr">
        <is>
          <t>&gt;=0.9.8, &lt;0.9.8m</t>
        </is>
      </c>
      <c r="I63" t="inlineStr">
        <is>
          <t>0.9.8zh</t>
        </is>
      </c>
      <c r="J63" t="inlineStr">
        <is>
          <t>3.3.7</t>
        </is>
      </c>
      <c r="K63" s="2" t="inlineStr">
        <is>
          <t>동일 브랜치 최종 버전, 미해결: CVE-2010-4252, CVE-2010-5298, CVE-2011-1945, CVE-2011-4108, CVE-2011-4576 외 13건; 브랜치 변경 시: 3.3.7; 버전 목록 출처: NVD CPE</t>
        </is>
      </c>
      <c r="L63" t="inlineStr">
        <is>
          <t>NVD</t>
        </is>
      </c>
      <c r="M63" t="inlineStr">
        <is>
          <t>2026-10-10T15:04:38+09:00</t>
        </is>
      </c>
    </row>
    <row r="64">
      <c r="A64" t="inlineStr">
        <is>
          <t>52</t>
        </is>
      </c>
      <c r="B64" t="inlineStr">
        <is>
          <t>OpenSSL</t>
        </is>
      </c>
      <c r="C64" t="inlineStr">
        <is>
          <t>0.9.8h</t>
        </is>
      </c>
      <c r="D64" t="inlineStr">
        <is>
          <t>CVE-2009-4355</t>
        </is>
      </c>
      <c r="E64" s="2" t="inlineStr">
        <is>
          <t>Memory leak in the zlib_stateful_finish function in crypto/comp/c_zlib.c in OpenSSL 0.9.8l and earlier and 1.0.0 Beta through Beta 4 allows remote attackers to cause a denial of service (memory consumption) via vectors that trigger incorrect calls to the CRYPTO_cleanup_all_ex_data function, as demonstrated by use of SSLv3 and PHP with the Apache HTTP Server, a related issue to CVE-2008-1678.</t>
        </is>
      </c>
      <c r="F64" t="n">
        <v>5</v>
      </c>
      <c r="G64" s="4" t="inlineStr">
        <is>
          <t>MEDIUM</t>
        </is>
      </c>
      <c r="H64" s="2">
        <f>0.9.8h; &lt;=0.9.8l</f>
        <v/>
      </c>
      <c r="I64" t="inlineStr">
        <is>
          <t>0.9.8zh</t>
        </is>
      </c>
      <c r="J64" t="inlineStr">
        <is>
          <t>3.3.7</t>
        </is>
      </c>
      <c r="K64" s="2" t="inlineStr">
        <is>
          <t>동일 브랜치 최종 버전, 미해결: CVE-2010-4252, CVE-2010-5298, CVE-2011-1945, CVE-2011-4108, CVE-2011-4576 외 13건; 브랜치 변경 시: 3.3.7; 버전 목록 출처: NVD CPE</t>
        </is>
      </c>
      <c r="L64" t="inlineStr">
        <is>
          <t>NVD</t>
        </is>
      </c>
      <c r="M64" t="inlineStr">
        <is>
          <t>2026-10-10T15:04:38+09:00</t>
        </is>
      </c>
    </row>
    <row r="65">
      <c r="A65" t="inlineStr">
        <is>
          <t>52</t>
        </is>
      </c>
      <c r="B65" t="inlineStr">
        <is>
          <t>OpenSSL</t>
        </is>
      </c>
      <c r="C65" t="inlineStr">
        <is>
          <t>0.9.8h</t>
        </is>
      </c>
      <c r="D65" t="inlineStr">
        <is>
          <t>CVE-2010-0740</t>
        </is>
      </c>
      <c r="E65" s="2" t="inlineStr">
        <is>
          <t>The ssl3_get_record function in ssl/s3_pkt.c in OpenSSL 0.9.8f through 0.9.8m allows remote attackers to cause a denial of service (crash) via a malformed record in a TLS connection that triggers a NULL pointer dereference, related to the minor version number.  NOTE: some of these details are obtained from third party information.</t>
        </is>
      </c>
      <c r="F65" t="n">
        <v>5</v>
      </c>
      <c r="G65" s="4" t="inlineStr">
        <is>
          <t>MEDIUM</t>
        </is>
      </c>
      <c r="H65" s="2">
        <f>0.9.8h</f>
        <v/>
      </c>
      <c r="I65" t="inlineStr">
        <is>
          <t>0.9.8zh</t>
        </is>
      </c>
      <c r="J65" t="inlineStr">
        <is>
          <t>3.3.7</t>
        </is>
      </c>
      <c r="K65" s="2" t="inlineStr">
        <is>
          <t>동일 브랜치 최종 버전, 미해결: CVE-2010-4252, CVE-2010-5298, CVE-2011-1945, CVE-2011-4108, CVE-2011-4576 외 13건; 브랜치 변경 시: 3.3.7; 버전 목록 출처: NVD CPE</t>
        </is>
      </c>
      <c r="L65" t="inlineStr">
        <is>
          <t>NVD</t>
        </is>
      </c>
      <c r="M65" t="inlineStr">
        <is>
          <t>2026-10-10T15:04:38+09:00</t>
        </is>
      </c>
    </row>
    <row r="66">
      <c r="A66" t="inlineStr">
        <is>
          <t>52</t>
        </is>
      </c>
      <c r="B66" t="inlineStr">
        <is>
          <t>OpenSSL</t>
        </is>
      </c>
      <c r="C66" t="inlineStr">
        <is>
          <t>0.9.8h</t>
        </is>
      </c>
      <c r="D66" t="inlineStr">
        <is>
          <t>CVE-2011-0014</t>
        </is>
      </c>
      <c r="E66" s="2" t="inlineStr">
        <is>
          <t>ssl/t1_lib.c in OpenSSL 0.9.8h through 0.9.8q and 1.0.0 through 1.0.0c allows remote attackers to cause a denial of service (crash), and possibly obtain sensitive information in applications that use OpenSSL, via a malformed ClientHello handshake message that triggers an out-of-bounds memory access, aka "OCSP stapling vulnerability."</t>
        </is>
      </c>
      <c r="F66" t="n">
        <v>5</v>
      </c>
      <c r="G66" s="4" t="inlineStr">
        <is>
          <t>MEDIUM</t>
        </is>
      </c>
      <c r="H66" s="2">
        <f>0.9.8h</f>
        <v/>
      </c>
      <c r="I66" t="inlineStr">
        <is>
          <t>0.9.8zh</t>
        </is>
      </c>
      <c r="J66" t="inlineStr">
        <is>
          <t>3.3.7</t>
        </is>
      </c>
      <c r="K66" s="2" t="inlineStr">
        <is>
          <t>동일 브랜치 최종 버전, 미해결: CVE-2010-4252, CVE-2010-5298, CVE-2011-1945, CVE-2011-4108, CVE-2011-4576 외 13건; 브랜치 변경 시: 3.3.7; 버전 목록 출처: NVD CPE</t>
        </is>
      </c>
      <c r="L66" t="inlineStr">
        <is>
          <t>NVD</t>
        </is>
      </c>
      <c r="M66" t="inlineStr">
        <is>
          <t>2026-10-10T15:04:38+09:00</t>
        </is>
      </c>
    </row>
    <row r="67">
      <c r="A67" t="inlineStr">
        <is>
          <t>52</t>
        </is>
      </c>
      <c r="B67" t="inlineStr">
        <is>
          <t>OpenSSL</t>
        </is>
      </c>
      <c r="C67" t="inlineStr">
        <is>
          <t>0.9.8h</t>
        </is>
      </c>
      <c r="D67" t="inlineStr">
        <is>
          <t>CVE-2011-3210</t>
        </is>
      </c>
      <c r="E67" s="2" t="inlineStr">
        <is>
          <t>The ephemeral ECDH ciphersuite functionality in OpenSSL 0.9.8 through 0.9.8r and 1.0.x before 1.0.0e does not ensure thread safety during processing of handshake messages from clients, which allows remote attackers to cause a denial of service (daemon crash) via out-of-order messages that violate the TLS protocol.</t>
        </is>
      </c>
      <c r="F67" t="n">
        <v>5</v>
      </c>
      <c r="G67" s="4" t="inlineStr">
        <is>
          <t>MEDIUM</t>
        </is>
      </c>
      <c r="H67" s="2">
        <f>0.9.8h</f>
        <v/>
      </c>
      <c r="I67" t="inlineStr">
        <is>
          <t>0.9.8zh</t>
        </is>
      </c>
      <c r="J67" t="inlineStr">
        <is>
          <t>3.3.7</t>
        </is>
      </c>
      <c r="K67" s="2" t="inlineStr">
        <is>
          <t>동일 브랜치 최종 버전, 미해결: CVE-2010-4252, CVE-2010-5298, CVE-2011-1945, CVE-2011-4108, CVE-2011-4576 외 13건; 브랜치 변경 시: 3.3.7; 버전 목록 출처: NVD CPE</t>
        </is>
      </c>
      <c r="L67" t="inlineStr">
        <is>
          <t>NVD</t>
        </is>
      </c>
      <c r="M67" t="inlineStr">
        <is>
          <t>2026-10-10T15:04:38+09:00</t>
        </is>
      </c>
    </row>
    <row r="68">
      <c r="A68" t="inlineStr">
        <is>
          <t>52</t>
        </is>
      </c>
      <c r="B68" t="inlineStr">
        <is>
          <t>OpenSSL</t>
        </is>
      </c>
      <c r="C68" t="inlineStr">
        <is>
          <t>0.9.8h</t>
        </is>
      </c>
      <c r="D68" t="inlineStr">
        <is>
          <t>CVE-2011-4576</t>
        </is>
      </c>
      <c r="E68" s="2" t="inlineStr">
        <is>
          <t>The SSL 3.0 implementation in OpenSSL before 0.9.8s and 1.x before 1.0.0f does not properly initialize data structures for block cipher padding, which might allow remote attackers to obtain sensitive information by decrypting the padding data sent by an SSL peer.</t>
        </is>
      </c>
      <c r="F68" t="n">
        <v>5</v>
      </c>
      <c r="G68" s="4" t="inlineStr">
        <is>
          <t>MEDIUM</t>
        </is>
      </c>
      <c r="H68" s="2">
        <f>0.9.8h; &lt;=0.9.8r; &lt;=1.0.0e</f>
        <v/>
      </c>
      <c r="I68" t="inlineStr">
        <is>
          <t>0.9.8zh</t>
        </is>
      </c>
      <c r="J68" t="inlineStr">
        <is>
          <t>3.3.7</t>
        </is>
      </c>
      <c r="K68" s="2" t="inlineStr">
        <is>
          <t>동일 브랜치 최종 버전, 미해결: CVE-2010-4252, CVE-2010-5298, CVE-2011-1945, CVE-2011-4108, CVE-2011-4576 외 13건; 브랜치 변경 시: 3.3.7; 버전 목록 출처: NVD CPE</t>
        </is>
      </c>
      <c r="L68" t="inlineStr">
        <is>
          <t>NVD</t>
        </is>
      </c>
      <c r="M68" t="inlineStr">
        <is>
          <t>2026-10-10T15:04:38+09:00</t>
        </is>
      </c>
    </row>
    <row r="69">
      <c r="A69" t="inlineStr">
        <is>
          <t>52</t>
        </is>
      </c>
      <c r="B69" t="inlineStr">
        <is>
          <t>OpenSSL</t>
        </is>
      </c>
      <c r="C69" t="inlineStr">
        <is>
          <t>0.9.8h</t>
        </is>
      </c>
      <c r="D69" t="inlineStr">
        <is>
          <t>CVE-2011-4619</t>
        </is>
      </c>
      <c r="E69" s="2" t="inlineStr">
        <is>
          <t>The Server Gated Cryptography (SGC) implementation in OpenSSL before 0.9.8s and 1.x before 1.0.0f does not properly handle handshake restarts, which allows remote attackers to cause a denial of service (CPU consumption) via unspecified vectors.</t>
        </is>
      </c>
      <c r="F69" t="n">
        <v>5</v>
      </c>
      <c r="G69" s="4" t="inlineStr">
        <is>
          <t>MEDIUM</t>
        </is>
      </c>
      <c r="H69" s="2">
        <f>0.9.8h; &lt;=0.9.8r; &lt;=1.0.0e</f>
        <v/>
      </c>
      <c r="I69" t="inlineStr">
        <is>
          <t>0.9.8zh</t>
        </is>
      </c>
      <c r="J69" t="inlineStr">
        <is>
          <t>3.3.7</t>
        </is>
      </c>
      <c r="K69" s="2" t="inlineStr">
        <is>
          <t>동일 브랜치 최종 버전, 미해결: CVE-2010-4252, CVE-2010-5298, CVE-2011-1945, CVE-2011-4108, CVE-2011-4576 외 13건; 브랜치 변경 시: 3.3.7; 버전 목록 출처: NVD CPE</t>
        </is>
      </c>
      <c r="L69" t="inlineStr">
        <is>
          <t>NVD</t>
        </is>
      </c>
      <c r="M69" t="inlineStr">
        <is>
          <t>2026-10-10T15:04:38+09:00</t>
        </is>
      </c>
    </row>
    <row r="70">
      <c r="A70" t="inlineStr">
        <is>
          <t>52</t>
        </is>
      </c>
      <c r="B70" t="inlineStr">
        <is>
          <t>OpenSSL</t>
        </is>
      </c>
      <c r="C70" t="inlineStr">
        <is>
          <t>0.9.8h</t>
        </is>
      </c>
      <c r="D70" t="inlineStr">
        <is>
          <t>CVE-2012-0027</t>
        </is>
      </c>
      <c r="E70" s="2" t="inlineStr">
        <is>
          <t>The GOST ENGINE in OpenSSL before 1.0.0f does not properly handle invalid parameters for the GOST block cipher, which allows remote attackers to cause a denial of service (daemon crash) via crafted data from a TLS client.</t>
        </is>
      </c>
      <c r="F70" t="n">
        <v>5</v>
      </c>
      <c r="G70" s="4" t="inlineStr">
        <is>
          <t>MEDIUM</t>
        </is>
      </c>
      <c r="H70" s="2">
        <f>0.9.8h; &lt;=1.0.0e</f>
        <v/>
      </c>
      <c r="I70" t="inlineStr">
        <is>
          <t>0.9.8zh</t>
        </is>
      </c>
      <c r="J70" t="inlineStr">
        <is>
          <t>3.3.7</t>
        </is>
      </c>
      <c r="K70" s="2" t="inlineStr">
        <is>
          <t>동일 브랜치 최종 버전, 미해결: CVE-2010-4252, CVE-2010-5298, CVE-2011-1945, CVE-2011-4108, CVE-2011-4576 외 13건; 브랜치 변경 시: 3.3.7; 버전 목록 출처: NVD CPE</t>
        </is>
      </c>
      <c r="L70" t="inlineStr">
        <is>
          <t>NVD</t>
        </is>
      </c>
      <c r="M70" t="inlineStr">
        <is>
          <t>2026-10-10T15:04:38+09:00</t>
        </is>
      </c>
    </row>
    <row r="71">
      <c r="A71" t="inlineStr">
        <is>
          <t>52</t>
        </is>
      </c>
      <c r="B71" t="inlineStr">
        <is>
          <t>OpenSSL</t>
        </is>
      </c>
      <c r="C71" t="inlineStr">
        <is>
          <t>0.9.8h</t>
        </is>
      </c>
      <c r="D71" t="inlineStr">
        <is>
          <t>CVE-2012-0884</t>
        </is>
      </c>
      <c r="E71" s="2" t="inlineStr">
        <is>
          <t>The implementation of Cryptographic Message Syntax (CMS) and PKCS #7 in OpenSSL before 0.9.8u and 1.x before 1.0.0h does not properly restrict certain oracle behavior, which makes it easier for context-dependent attackers to decrypt data via a Million Message Attack (MMA) adaptive chosen ciphertext attack.</t>
        </is>
      </c>
      <c r="F71" t="n">
        <v>5</v>
      </c>
      <c r="G71" s="4" t="inlineStr">
        <is>
          <t>MEDIUM</t>
        </is>
      </c>
      <c r="H71" s="2">
        <f>0.9.8h; &lt;=0.9.8t</f>
        <v/>
      </c>
      <c r="I71" t="inlineStr">
        <is>
          <t>0.9.8zh</t>
        </is>
      </c>
      <c r="J71" t="inlineStr">
        <is>
          <t>3.3.7</t>
        </is>
      </c>
      <c r="K71" s="2" t="inlineStr">
        <is>
          <t>동일 브랜치 최종 버전, 미해결: CVE-2010-4252, CVE-2010-5298, CVE-2011-1945, CVE-2011-4108, CVE-2011-4576 외 13건; 브랜치 변경 시: 3.3.7; 버전 목록 출처: NVD CPE</t>
        </is>
      </c>
      <c r="L71" t="inlineStr">
        <is>
          <t>NVD</t>
        </is>
      </c>
      <c r="M71" t="inlineStr">
        <is>
          <t>2026-10-10T15:04:38+09:00</t>
        </is>
      </c>
    </row>
    <row r="72">
      <c r="A72" t="inlineStr">
        <is>
          <t>52</t>
        </is>
      </c>
      <c r="B72" t="inlineStr">
        <is>
          <t>OpenSSL</t>
        </is>
      </c>
      <c r="C72" t="inlineStr">
        <is>
          <t>0.9.8h</t>
        </is>
      </c>
      <c r="D72" t="inlineStr">
        <is>
          <t>CVE-2012-1165</t>
        </is>
      </c>
      <c r="E72" s="2" t="inlineStr">
        <is>
          <t>The mime_param_cmp function in crypto/asn1/asn_mime.c in OpenSSL before 0.9.8u and 1.x before 1.0.0h allows remote attackers to cause a denial of service (NULL pointer dereference and application crash) via a crafted S/MIME message, a different vulnerability than CVE-2006-7250.</t>
        </is>
      </c>
      <c r="F72" t="n">
        <v>5</v>
      </c>
      <c r="G72" s="4" t="inlineStr">
        <is>
          <t>MEDIUM</t>
        </is>
      </c>
      <c r="H72" s="2">
        <f>0.9.8h; &lt;=0.9.8t</f>
        <v/>
      </c>
      <c r="I72" t="inlineStr">
        <is>
          <t>0.9.8zh</t>
        </is>
      </c>
      <c r="J72" t="inlineStr">
        <is>
          <t>3.3.7</t>
        </is>
      </c>
      <c r="K72" s="2" t="inlineStr">
        <is>
          <t>동일 브랜치 최종 버전, 미해결: CVE-2010-4252, CVE-2010-5298, CVE-2011-1945, CVE-2011-4108, CVE-2011-4576 외 13건; 브랜치 변경 시: 3.3.7; 버전 목록 출처: NVD CPE</t>
        </is>
      </c>
      <c r="L72" t="inlineStr">
        <is>
          <t>NVD</t>
        </is>
      </c>
      <c r="M72" t="inlineStr">
        <is>
          <t>2026-10-10T15:04:38+09:00</t>
        </is>
      </c>
    </row>
    <row r="73">
      <c r="A73" t="inlineStr">
        <is>
          <t>52</t>
        </is>
      </c>
      <c r="B73" t="inlineStr">
        <is>
          <t>OpenSSL</t>
        </is>
      </c>
      <c r="C73" t="inlineStr">
        <is>
          <t>0.9.8h</t>
        </is>
      </c>
      <c r="D73" t="inlineStr">
        <is>
          <t>CVE-2013-0166</t>
        </is>
      </c>
      <c r="E73" s="2" t="inlineStr">
        <is>
          <t>OpenSSL before 0.9.8y, 1.0.0 before 1.0.0k, and 1.0.1 before 1.0.1d does not properly perform signature verification for OCSP responses, which allows remote OCSP servers to cause a denial of service (NULL pointer dereference and application crash) via an invalid key.</t>
        </is>
      </c>
      <c r="F73" t="n">
        <v>5</v>
      </c>
      <c r="G73" s="4" t="inlineStr">
        <is>
          <t>MEDIUM</t>
        </is>
      </c>
      <c r="H73" s="2">
        <f>0.9.8h</f>
        <v/>
      </c>
      <c r="I73" t="inlineStr">
        <is>
          <t>0.9.8zh</t>
        </is>
      </c>
      <c r="J73" t="inlineStr">
        <is>
          <t>3.3.7</t>
        </is>
      </c>
      <c r="K73" s="2" t="inlineStr">
        <is>
          <t>동일 브랜치 최종 버전, 미해결: CVE-2010-4252, CVE-2010-5298, CVE-2011-1945, CVE-2011-4108, CVE-2011-4576 외 13건; 브랜치 변경 시: 3.3.7; 버전 목록 출처: NVD CPE</t>
        </is>
      </c>
      <c r="L73" t="inlineStr">
        <is>
          <t>NVD</t>
        </is>
      </c>
      <c r="M73" t="inlineStr">
        <is>
          <t>2026-10-10T15:04:38+09:00</t>
        </is>
      </c>
    </row>
    <row r="74">
      <c r="A74" t="inlineStr">
        <is>
          <t>52</t>
        </is>
      </c>
      <c r="B74" t="inlineStr">
        <is>
          <t>OpenSSL</t>
        </is>
      </c>
      <c r="C74" t="inlineStr">
        <is>
          <t>0.9.8h</t>
        </is>
      </c>
      <c r="D74" t="inlineStr">
        <is>
          <t>CVE-2014-3505</t>
        </is>
      </c>
      <c r="E74" s="2" t="inlineStr">
        <is>
          <t>Double free vulnerability in d1_both.c in the DTLS implementation in OpenSSL 0.9.8 before 0.9.8zb, 1.0.0 before 1.0.0n, and 1.0.1 before 1.0.1i allows remote attackers to cause a denial of service (application crash) via crafted DTLS packets that trigger an error condition.</t>
        </is>
      </c>
      <c r="F74" t="n">
        <v>5</v>
      </c>
      <c r="G74" s="4" t="inlineStr">
        <is>
          <t>MEDIUM</t>
        </is>
      </c>
      <c r="H74" s="2">
        <f>0.9.8h</f>
        <v/>
      </c>
      <c r="I74" t="inlineStr">
        <is>
          <t>0.9.8zh</t>
        </is>
      </c>
      <c r="J74" t="inlineStr">
        <is>
          <t>3.3.7</t>
        </is>
      </c>
      <c r="K74" s="2" t="inlineStr">
        <is>
          <t>동일 브랜치 최종 버전, 미해결: CVE-2010-4252, CVE-2010-5298, CVE-2011-1945, CVE-2011-4108, CVE-2011-4576 외 13건; 브랜치 변경 시: 3.3.7; 버전 목록 출처: NVD CPE</t>
        </is>
      </c>
      <c r="L74" t="inlineStr">
        <is>
          <t>NVD</t>
        </is>
      </c>
      <c r="M74" t="inlineStr">
        <is>
          <t>2026-10-10T15:04:38+09:00</t>
        </is>
      </c>
    </row>
    <row r="75">
      <c r="A75" t="inlineStr">
        <is>
          <t>52</t>
        </is>
      </c>
      <c r="B75" t="inlineStr">
        <is>
          <t>OpenSSL</t>
        </is>
      </c>
      <c r="C75" t="inlineStr">
        <is>
          <t>0.9.8h</t>
        </is>
      </c>
      <c r="D75" t="inlineStr">
        <is>
          <t>CVE-2014-3506</t>
        </is>
      </c>
      <c r="E75" s="2" t="inlineStr">
        <is>
          <t>d1_both.c in the DTLS implementation in OpenSSL 0.9.8 before 0.9.8zb, 1.0.0 before 1.0.0n, and 1.0.1 before 1.0.1i allows remote attackers to cause a denial of service (memory consumption) via crafted DTLS handshake messages that trigger memory allocations corresponding to large length values.</t>
        </is>
      </c>
      <c r="F75" t="n">
        <v>5</v>
      </c>
      <c r="G75" s="4" t="inlineStr">
        <is>
          <t>MEDIUM</t>
        </is>
      </c>
      <c r="H75" s="2">
        <f>0.9.8h</f>
        <v/>
      </c>
      <c r="I75" t="inlineStr">
        <is>
          <t>0.9.8zh</t>
        </is>
      </c>
      <c r="J75" t="inlineStr">
        <is>
          <t>3.3.7</t>
        </is>
      </c>
      <c r="K75" s="2" t="inlineStr">
        <is>
          <t>동일 브랜치 최종 버전, 미해결: CVE-2010-4252, CVE-2010-5298, CVE-2011-1945, CVE-2011-4108, CVE-2011-4576 외 13건; 브랜치 변경 시: 3.3.7; 버전 목록 출처: NVD CPE</t>
        </is>
      </c>
      <c r="L75" t="inlineStr">
        <is>
          <t>NVD</t>
        </is>
      </c>
      <c r="M75" t="inlineStr">
        <is>
          <t>2026-10-10T15:04:38+09:00</t>
        </is>
      </c>
    </row>
    <row r="76">
      <c r="A76" t="inlineStr">
        <is>
          <t>52</t>
        </is>
      </c>
      <c r="B76" t="inlineStr">
        <is>
          <t>OpenSSL</t>
        </is>
      </c>
      <c r="C76" t="inlineStr">
        <is>
          <t>0.9.8h</t>
        </is>
      </c>
      <c r="D76" t="inlineStr">
        <is>
          <t>CVE-2014-3507</t>
        </is>
      </c>
      <c r="E76" s="2" t="inlineStr">
        <is>
          <t>Memory leak in d1_both.c in the DTLS implementation in OpenSSL 0.9.8 before 0.9.8zb, 1.0.0 before 1.0.0n, and 1.0.1 before 1.0.1i allows remote attackers to cause a denial of service (memory consumption) via zero-length DTLS fragments that trigger improper handling of the return value of a certain insert function.</t>
        </is>
      </c>
      <c r="F76" t="n">
        <v>5</v>
      </c>
      <c r="G76" s="4" t="inlineStr">
        <is>
          <t>MEDIUM</t>
        </is>
      </c>
      <c r="H76" s="2">
        <f>0.9.8h</f>
        <v/>
      </c>
      <c r="I76" t="inlineStr">
        <is>
          <t>0.9.8zh</t>
        </is>
      </c>
      <c r="J76" t="inlineStr">
        <is>
          <t>3.3.7</t>
        </is>
      </c>
      <c r="K76" s="2" t="inlineStr">
        <is>
          <t>동일 브랜치 최종 버전, 미해결: CVE-2010-4252, CVE-2010-5298, CVE-2011-1945, CVE-2011-4108, CVE-2011-4576 외 13건; 브랜치 변경 시: 3.3.7; 버전 목록 출처: NVD CPE</t>
        </is>
      </c>
      <c r="L76" t="inlineStr">
        <is>
          <t>NVD</t>
        </is>
      </c>
      <c r="M76" t="inlineStr">
        <is>
          <t>2026-10-10T15:04:38+09:00</t>
        </is>
      </c>
    </row>
    <row r="77">
      <c r="A77" t="inlineStr">
        <is>
          <t>52</t>
        </is>
      </c>
      <c r="B77" t="inlineStr">
        <is>
          <t>OpenSSL</t>
        </is>
      </c>
      <c r="C77" t="inlineStr">
        <is>
          <t>0.9.8h</t>
        </is>
      </c>
      <c r="D77" t="inlineStr">
        <is>
          <t>CVE-2014-3570</t>
        </is>
      </c>
      <c r="E77" s="2" t="inlineStr">
        <is>
          <t>The BN_sqr implementation in OpenSSL before 0.9.8zd, 1.0.0 before 1.0.0p, and 1.0.1 before 1.0.1k does not properly calculate the square of a BIGNUM value, which might make it easier for remote attackers to defeat cryptographic protection mechanisms via unspecified vectors, related to crypto/bn/asm/mips.pl, crypto/bn/asm/x86_64-gcc.c, and crypto/bn/bn_asm.c.</t>
        </is>
      </c>
      <c r="F77" t="n">
        <v>5</v>
      </c>
      <c r="G77" s="4" t="inlineStr">
        <is>
          <t>MEDIUM</t>
        </is>
      </c>
      <c r="H77" s="2" t="inlineStr">
        <is>
          <t>&lt;=0.9.8zc</t>
        </is>
      </c>
      <c r="I77" t="inlineStr">
        <is>
          <t>0.9.8zh</t>
        </is>
      </c>
      <c r="J77" t="inlineStr">
        <is>
          <t>3.3.7</t>
        </is>
      </c>
      <c r="K77" s="2" t="inlineStr">
        <is>
          <t>동일 브랜치 최종 버전, 미해결: CVE-2010-4252, CVE-2010-5298, CVE-2011-1945, CVE-2011-4108, CVE-2011-4576 외 13건; 브랜치 변경 시: 3.3.7; 버전 목록 출처: NVD CPE</t>
        </is>
      </c>
      <c r="L77" t="inlineStr">
        <is>
          <t>NVD</t>
        </is>
      </c>
      <c r="M77" t="inlineStr">
        <is>
          <t>2026-10-10T15:04:38+09:00</t>
        </is>
      </c>
    </row>
    <row r="78">
      <c r="A78" t="inlineStr">
        <is>
          <t>52</t>
        </is>
      </c>
      <c r="B78" t="inlineStr">
        <is>
          <t>OpenSSL</t>
        </is>
      </c>
      <c r="C78" t="inlineStr">
        <is>
          <t>0.9.8h</t>
        </is>
      </c>
      <c r="D78" t="inlineStr">
        <is>
          <t>CVE-2014-3571</t>
        </is>
      </c>
      <c r="E78" s="2" t="inlineStr">
        <is>
          <t>OpenSSL before 0.9.8zd, 1.0.0 before 1.0.0p, and 1.0.1 before 1.0.1k allows remote attackers to cause a denial of service (NULL pointer dereference and application crash) via a crafted DTLS message that is processed with a different read operation for the handshake header than for the handshake body, related to the dtls1_get_record function in d1_pkt.c and the ssl3_read_n function in s3_pkt.c.</t>
        </is>
      </c>
      <c r="F78" t="n">
        <v>5</v>
      </c>
      <c r="G78" s="4" t="inlineStr">
        <is>
          <t>MEDIUM</t>
        </is>
      </c>
      <c r="H78" s="2" t="inlineStr">
        <is>
          <t>&lt;=0.9.8zc</t>
        </is>
      </c>
      <c r="I78" t="inlineStr">
        <is>
          <t>0.9.8zh</t>
        </is>
      </c>
      <c r="J78" t="inlineStr">
        <is>
          <t>3.3.7</t>
        </is>
      </c>
      <c r="K78" s="2" t="inlineStr">
        <is>
          <t>동일 브랜치 최종 버전, 미해결: CVE-2010-4252, CVE-2010-5298, CVE-2011-1945, CVE-2011-4108, CVE-2011-4576 외 13건; 브랜치 변경 시: 3.3.7; 버전 목록 출처: NVD CPE</t>
        </is>
      </c>
      <c r="L78" t="inlineStr">
        <is>
          <t>NVD</t>
        </is>
      </c>
      <c r="M78" t="inlineStr">
        <is>
          <t>2026-10-10T15:04:38+09:00</t>
        </is>
      </c>
    </row>
    <row r="79">
      <c r="A79" t="inlineStr">
        <is>
          <t>52</t>
        </is>
      </c>
      <c r="B79" t="inlineStr">
        <is>
          <t>OpenSSL</t>
        </is>
      </c>
      <c r="C79" t="inlineStr">
        <is>
          <t>0.9.8h</t>
        </is>
      </c>
      <c r="D79" t="inlineStr">
        <is>
          <t>CVE-2014-3572</t>
        </is>
      </c>
      <c r="E79" s="2" t="inlineStr">
        <is>
          <t>The ssl3_get_key_exchange function in s3_clnt.c in OpenSSL before 0.9.8zd, 1.0.0 before 1.0.0p, and 1.0.1 before 1.0.1k allows remote SSL servers to conduct ECDHE-to-ECDH downgrade attacks and trigger a loss of forward secrecy by omitting the ServerKeyExchange message.</t>
        </is>
      </c>
      <c r="F79" t="n">
        <v>5</v>
      </c>
      <c r="G79" s="4" t="inlineStr">
        <is>
          <t>MEDIUM</t>
        </is>
      </c>
      <c r="H79" s="2" t="inlineStr">
        <is>
          <t>&lt;=0.9.8zc</t>
        </is>
      </c>
      <c r="I79" t="inlineStr">
        <is>
          <t>0.9.8zh</t>
        </is>
      </c>
      <c r="J79" t="inlineStr">
        <is>
          <t>3.3.7</t>
        </is>
      </c>
      <c r="K79" s="2" t="inlineStr">
        <is>
          <t>동일 브랜치 최종 버전, 미해결: CVE-2010-4252, CVE-2010-5298, CVE-2011-1945, CVE-2011-4108, CVE-2011-4576 외 13건; 브랜치 변경 시: 3.3.7; 버전 목록 출처: NVD CPE</t>
        </is>
      </c>
      <c r="L79" t="inlineStr">
        <is>
          <t>NVD</t>
        </is>
      </c>
      <c r="M79" t="inlineStr">
        <is>
          <t>2026-10-10T15:04:38+09:00</t>
        </is>
      </c>
    </row>
    <row r="80">
      <c r="A80" t="inlineStr">
        <is>
          <t>52</t>
        </is>
      </c>
      <c r="B80" t="inlineStr">
        <is>
          <t>OpenSSL</t>
        </is>
      </c>
      <c r="C80" t="inlineStr">
        <is>
          <t>0.9.8h</t>
        </is>
      </c>
      <c r="D80" t="inlineStr">
        <is>
          <t>CVE-2014-8275</t>
        </is>
      </c>
      <c r="E80" s="2" t="inlineStr">
        <is>
          <t>OpenSSL before 0.9.8zd, 1.0.0 before 1.0.0p, and 1.0.1 before 1.0.1k does not enforce certain constraints on certificate data, which allows remote attackers to defeat a fingerprint-based certificate-blacklist protection mechanism by including crafted data within a certificate's unsigned portion, related to crypto/asn1/a_verify.c, crypto/dsa/dsa_asn1.c, crypto/ecdsa/ecs_vrf.c, and crypto/x509/x_all.c.</t>
        </is>
      </c>
      <c r="F80" t="n">
        <v>5</v>
      </c>
      <c r="G80" s="4" t="inlineStr">
        <is>
          <t>MEDIUM</t>
        </is>
      </c>
      <c r="H80" s="2" t="inlineStr">
        <is>
          <t>&lt;=0.9.8zc</t>
        </is>
      </c>
      <c r="I80" t="inlineStr">
        <is>
          <t>0.9.8zh</t>
        </is>
      </c>
      <c r="J80" t="inlineStr">
        <is>
          <t>3.3.7</t>
        </is>
      </c>
      <c r="K80" s="2" t="inlineStr">
        <is>
          <t>동일 브랜치 최종 버전, 미해결: CVE-2010-4252, CVE-2010-5298, CVE-2011-1945, CVE-2011-4108, CVE-2011-4576 외 13건; 브랜치 변경 시: 3.3.7; 버전 목록 출처: NVD CPE</t>
        </is>
      </c>
      <c r="L80" t="inlineStr">
        <is>
          <t>NVD</t>
        </is>
      </c>
      <c r="M80" t="inlineStr">
        <is>
          <t>2026-10-10T15:04:38+09:00</t>
        </is>
      </c>
    </row>
    <row r="81">
      <c r="A81" t="inlineStr">
        <is>
          <t>52</t>
        </is>
      </c>
      <c r="B81" t="inlineStr">
        <is>
          <t>OpenSSL</t>
        </is>
      </c>
      <c r="C81" t="inlineStr">
        <is>
          <t>0.9.8h</t>
        </is>
      </c>
      <c r="D81" t="inlineStr">
        <is>
          <t>CVE-2015-0286</t>
        </is>
      </c>
      <c r="E81" s="2" t="inlineStr">
        <is>
          <t>The ASN1_TYPE_cmp function in crypto/asn1/a_type.c in OpenSSL before 0.9.8zf, 1.0.0 before 1.0.0r, 1.0.1 before 1.0.1m, and 1.0.2 before 1.0.2a does not properly perform boolean-type comparisons, which allows remote attackers to cause a denial of service (invalid read operation and application crash) via a crafted X.509 certificate to an endpoint that uses the certificate-verification feature.</t>
        </is>
      </c>
      <c r="F81" t="n">
        <v>5</v>
      </c>
      <c r="G81" s="4" t="inlineStr">
        <is>
          <t>MEDIUM</t>
        </is>
      </c>
      <c r="H81" s="2" t="inlineStr">
        <is>
          <t>&lt;=0.9.8ze</t>
        </is>
      </c>
      <c r="I81" t="inlineStr">
        <is>
          <t>0.9.8zh</t>
        </is>
      </c>
      <c r="J81" t="inlineStr">
        <is>
          <t>3.3.7</t>
        </is>
      </c>
      <c r="K81" s="2" t="inlineStr">
        <is>
          <t>동일 브랜치 최종 버전, 미해결: CVE-2010-4252, CVE-2010-5298, CVE-2011-1945, CVE-2011-4108, CVE-2011-4576 외 13건; 브랜치 변경 시: 3.3.7; 버전 목록 출처: NVD CPE</t>
        </is>
      </c>
      <c r="L81" t="inlineStr">
        <is>
          <t>NVD</t>
        </is>
      </c>
      <c r="M81" t="inlineStr">
        <is>
          <t>2026-10-10T15:04:38+09:00</t>
        </is>
      </c>
    </row>
    <row r="82">
      <c r="A82" t="inlineStr">
        <is>
          <t>52</t>
        </is>
      </c>
      <c r="B82" t="inlineStr">
        <is>
          <t>OpenSSL</t>
        </is>
      </c>
      <c r="C82" t="inlineStr">
        <is>
          <t>0.9.8h</t>
        </is>
      </c>
      <c r="D82" t="inlineStr">
        <is>
          <t>CVE-2015-0287</t>
        </is>
      </c>
      <c r="E82" s="2" t="inlineStr">
        <is>
          <t>The ASN1_item_ex_d2i function in crypto/asn1/tasn_dec.c in OpenSSL before 0.9.8zf, 1.0.0 before 1.0.0r, 1.0.1 before 1.0.1m, and 1.0.2 before 1.0.2a does not reinitialize CHOICE and ADB data structures, which might allow attackers to cause a denial of service (invalid write operation and memory corruption) by leveraging an application that relies on ASN.1 structure reuse.</t>
        </is>
      </c>
      <c r="F82" t="n">
        <v>5</v>
      </c>
      <c r="G82" s="4" t="inlineStr">
        <is>
          <t>MEDIUM</t>
        </is>
      </c>
      <c r="H82" s="2" t="inlineStr">
        <is>
          <t>&lt;=0.9.8ze</t>
        </is>
      </c>
      <c r="I82" t="inlineStr">
        <is>
          <t>0.9.8zh</t>
        </is>
      </c>
      <c r="J82" t="inlineStr">
        <is>
          <t>3.3.7</t>
        </is>
      </c>
      <c r="K82" s="2" t="inlineStr">
        <is>
          <t>동일 브랜치 최종 버전, 미해결: CVE-2010-4252, CVE-2010-5298, CVE-2011-1945, CVE-2011-4108, CVE-2011-4576 외 13건; 브랜치 변경 시: 3.3.7; 버전 목록 출처: NVD CPE</t>
        </is>
      </c>
      <c r="L82" t="inlineStr">
        <is>
          <t>NVD</t>
        </is>
      </c>
      <c r="M82" t="inlineStr">
        <is>
          <t>2026-10-10T15:04:38+09:00</t>
        </is>
      </c>
    </row>
    <row r="83">
      <c r="A83" t="inlineStr">
        <is>
          <t>52</t>
        </is>
      </c>
      <c r="B83" t="inlineStr">
        <is>
          <t>OpenSSL</t>
        </is>
      </c>
      <c r="C83" t="inlineStr">
        <is>
          <t>0.9.8h</t>
        </is>
      </c>
      <c r="D83" t="inlineStr">
        <is>
          <t>CVE-2015-0288</t>
        </is>
      </c>
      <c r="E83" s="2" t="inlineStr">
        <is>
          <t>The X509_to_X509_REQ function in crypto/x509/x509_req.c in OpenSSL before 0.9.8zf, 1.0.0 before 1.0.0r, 1.0.1 before 1.0.1m, and 1.0.2 before 1.0.2a might allow attackers to cause a denial of service (NULL pointer dereference and application crash) via an invalid certificate key.</t>
        </is>
      </c>
      <c r="F83" t="n">
        <v>5</v>
      </c>
      <c r="G83" s="4" t="inlineStr">
        <is>
          <t>MEDIUM</t>
        </is>
      </c>
      <c r="H83" s="2" t="inlineStr">
        <is>
          <t>&lt;=0.9.8ze</t>
        </is>
      </c>
      <c r="I83" t="inlineStr">
        <is>
          <t>0.9.8zh</t>
        </is>
      </c>
      <c r="J83" t="inlineStr">
        <is>
          <t>3.3.7</t>
        </is>
      </c>
      <c r="K83" s="2" t="inlineStr">
        <is>
          <t>동일 브랜치 최종 버전, 미해결: CVE-2010-4252, CVE-2010-5298, CVE-2011-1945, CVE-2011-4108, CVE-2011-4576 외 13건; 브랜치 변경 시: 3.3.7; 버전 목록 출처: NVD CPE</t>
        </is>
      </c>
      <c r="L83" t="inlineStr">
        <is>
          <t>NVD</t>
        </is>
      </c>
      <c r="M83" t="inlineStr">
        <is>
          <t>2026-10-10T15:04:38+09:00</t>
        </is>
      </c>
    </row>
    <row r="84">
      <c r="A84" t="inlineStr">
        <is>
          <t>52</t>
        </is>
      </c>
      <c r="B84" t="inlineStr">
        <is>
          <t>OpenSSL</t>
        </is>
      </c>
      <c r="C84" t="inlineStr">
        <is>
          <t>0.9.8h</t>
        </is>
      </c>
      <c r="D84" t="inlineStr">
        <is>
          <t>CVE-2015-0289</t>
        </is>
      </c>
      <c r="E84" s="2" t="inlineStr">
        <is>
          <t>The PKCS#7 implementation in OpenSSL before 0.9.8zf, 1.0.0 before 1.0.0r, 1.0.1 before 1.0.1m, and 1.0.2 before 1.0.2a does not properly handle a lack of outer ContentInfo, which allows attackers to cause a denial of service (NULL pointer dereference and application crash) by leveraging an application that processes arbitrary PKCS#7 data and providing malformed data with ASN.1 encoding, related to crypto/pkcs7/pk7_doit.c and crypto/pkcs7/pk7_lib.c.</t>
        </is>
      </c>
      <c r="F84" t="n">
        <v>5</v>
      </c>
      <c r="G84" s="4" t="inlineStr">
        <is>
          <t>MEDIUM</t>
        </is>
      </c>
      <c r="H84" s="2" t="inlineStr">
        <is>
          <t>&lt;=0.9.8ze</t>
        </is>
      </c>
      <c r="I84" t="inlineStr">
        <is>
          <t>0.9.8zh</t>
        </is>
      </c>
      <c r="J84" t="inlineStr">
        <is>
          <t>3.3.7</t>
        </is>
      </c>
      <c r="K84" s="2" t="inlineStr">
        <is>
          <t>동일 브랜치 최종 버전, 미해결: CVE-2010-4252, CVE-2010-5298, CVE-2011-1945, CVE-2011-4108, CVE-2011-4576 외 13건; 브랜치 변경 시: 3.3.7; 버전 목록 출처: NVD CPE</t>
        </is>
      </c>
      <c r="L84" t="inlineStr">
        <is>
          <t>NVD</t>
        </is>
      </c>
      <c r="M84" t="inlineStr">
        <is>
          <t>2026-10-10T15:04:38+09:00</t>
        </is>
      </c>
    </row>
    <row r="85">
      <c r="A85" t="inlineStr">
        <is>
          <t>52</t>
        </is>
      </c>
      <c r="B85" t="inlineStr">
        <is>
          <t>OpenSSL</t>
        </is>
      </c>
      <c r="C85" t="inlineStr">
        <is>
          <t>0.9.8h</t>
        </is>
      </c>
      <c r="D85" t="inlineStr">
        <is>
          <t>CVE-2015-0293</t>
        </is>
      </c>
      <c r="E85" s="2" t="inlineStr">
        <is>
          <t>The SSLv2 implementation in OpenSSL before 0.9.8zf, 1.0.0 before 1.0.0r, 1.0.1 before 1.0.1m, and 1.0.2 before 1.0.2a allows remote attackers to cause a denial of service (s2_lib.c assertion failure and daemon exit) via a crafted CLIENT-MASTER-KEY message.</t>
        </is>
      </c>
      <c r="F85" t="n">
        <v>5</v>
      </c>
      <c r="G85" s="4" t="inlineStr">
        <is>
          <t>MEDIUM</t>
        </is>
      </c>
      <c r="H85" s="2" t="inlineStr">
        <is>
          <t>&lt;=0.9.8ze</t>
        </is>
      </c>
      <c r="I85" t="inlineStr">
        <is>
          <t>0.9.8zh</t>
        </is>
      </c>
      <c r="J85" t="inlineStr">
        <is>
          <t>3.3.7</t>
        </is>
      </c>
      <c r="K85" s="2" t="inlineStr">
        <is>
          <t>동일 브랜치 최종 버전, 미해결: CVE-2010-4252, CVE-2010-5298, CVE-2011-1945, CVE-2011-4108, CVE-2011-4576 외 13건; 브랜치 변경 시: 3.3.7; 버전 목록 출처: NVD CPE</t>
        </is>
      </c>
      <c r="L85" t="inlineStr">
        <is>
          <t>NVD</t>
        </is>
      </c>
      <c r="M85" t="inlineStr">
        <is>
          <t>2026-10-10T15:04:38+09:00</t>
        </is>
      </c>
    </row>
    <row r="86">
      <c r="A86" t="inlineStr">
        <is>
          <t>52</t>
        </is>
      </c>
      <c r="B86" t="inlineStr">
        <is>
          <t>OpenSSL</t>
        </is>
      </c>
      <c r="C86" t="inlineStr">
        <is>
          <t>0.9.8h</t>
        </is>
      </c>
      <c r="D86" t="inlineStr">
        <is>
          <t>CVE-2015-1790</t>
        </is>
      </c>
      <c r="E86" s="2" t="inlineStr">
        <is>
          <t>The PKCS7_dataDecodefunction in crypto/pkcs7/pk7_doit.c in OpenSSL before 0.9.8zg, 1.0.0 before 1.0.0s, 1.0.1 before 1.0.1n, and 1.0.2 before 1.0.2b allows remote attackers to cause a denial of service (NULL pointer dereference and application crash) via a PKCS#7 blob that uses ASN.1 encoding and lacks inner EncryptedContent data.</t>
        </is>
      </c>
      <c r="F86" t="n">
        <v>5</v>
      </c>
      <c r="G86" s="4" t="inlineStr">
        <is>
          <t>MEDIUM</t>
        </is>
      </c>
      <c r="H86" s="2" t="inlineStr">
        <is>
          <t>&lt;=0.9.8zf</t>
        </is>
      </c>
      <c r="I86" t="inlineStr">
        <is>
          <t>0.9.8zh</t>
        </is>
      </c>
      <c r="J86" t="inlineStr">
        <is>
          <t>3.3.7</t>
        </is>
      </c>
      <c r="K86" s="2" t="inlineStr">
        <is>
          <t>동일 브랜치 최종 버전, 미해결: CVE-2010-4252, CVE-2010-5298, CVE-2011-1945, CVE-2011-4108, CVE-2011-4576 외 13건; 브랜치 변경 시: 3.3.7; 버전 목록 출처: NVD CPE</t>
        </is>
      </c>
      <c r="L86" t="inlineStr">
        <is>
          <t>NVD</t>
        </is>
      </c>
      <c r="M86" t="inlineStr">
        <is>
          <t>2026-10-10T15:04:38+09:00</t>
        </is>
      </c>
    </row>
    <row r="87">
      <c r="A87" t="inlineStr">
        <is>
          <t>52</t>
        </is>
      </c>
      <c r="B87" t="inlineStr">
        <is>
          <t>OpenSSL</t>
        </is>
      </c>
      <c r="C87" t="inlineStr">
        <is>
          <t>0.9.8h</t>
        </is>
      </c>
      <c r="D87" t="inlineStr">
        <is>
          <t>CVE-2015-1792</t>
        </is>
      </c>
      <c r="E87" s="2" t="inlineStr">
        <is>
          <t>The do_free_upto function in crypto/cms/cms_smime.c in OpenSSL before 0.9.8zg, 1.0.0 before 1.0.0s, 1.0.1 before 1.0.1n, and 1.0.2 before 1.0.2b allows remote attackers to cause a denial of service (infinite loop) via vectors that trigger a NULL value of a BIO data structure, as demonstrated by an unrecognized X.660 OID for a hash function.</t>
        </is>
      </c>
      <c r="F87" t="n">
        <v>5</v>
      </c>
      <c r="G87" s="4" t="inlineStr">
        <is>
          <t>MEDIUM</t>
        </is>
      </c>
      <c r="H87" s="2" t="inlineStr">
        <is>
          <t>&lt;=0.9.8zf</t>
        </is>
      </c>
      <c r="I87" t="inlineStr">
        <is>
          <t>0.9.8zh</t>
        </is>
      </c>
      <c r="J87" t="inlineStr">
        <is>
          <t>3.3.7</t>
        </is>
      </c>
      <c r="K87" s="2" t="inlineStr">
        <is>
          <t>동일 브랜치 최종 버전, 미해결: CVE-2010-4252, CVE-2010-5298, CVE-2011-1945, CVE-2011-4108, CVE-2011-4576 외 13건; 브랜치 변경 시: 3.3.7; 버전 목록 출처: NVD CPE</t>
        </is>
      </c>
      <c r="L87" t="inlineStr">
        <is>
          <t>NVD</t>
        </is>
      </c>
      <c r="M87" t="inlineStr">
        <is>
          <t>2026-10-10T15:04:38+09:00</t>
        </is>
      </c>
    </row>
    <row r="88">
      <c r="A88" t="inlineStr">
        <is>
          <t>52</t>
        </is>
      </c>
      <c r="B88" t="inlineStr">
        <is>
          <t>OpenSSL</t>
        </is>
      </c>
      <c r="C88" t="inlineStr">
        <is>
          <t>0.9.8h</t>
        </is>
      </c>
      <c r="D88" t="inlineStr">
        <is>
          <t>CVE-2008-7270</t>
        </is>
      </c>
      <c r="E88" s="2" t="inlineStr">
        <is>
          <t>OpenSSL before 0.9.8j, when SSL_OP_NETSCAPE_REUSE_CIPHER_CHANGE_BUG is enabled, does not prevent modification of the ciphersuite in the session cache, which allows remote attackers to force the use of a disabled cipher via vectors involving sniffing network traffic to discover a session identifier, a different vulnerability than CVE-2010-4180.</t>
        </is>
      </c>
      <c r="F88" t="n">
        <v>4.3</v>
      </c>
      <c r="G88" s="4" t="inlineStr">
        <is>
          <t>MEDIUM</t>
        </is>
      </c>
      <c r="H88" s="2">
        <f>0.9.8h; &lt;=0.9.8i</f>
        <v/>
      </c>
      <c r="I88" t="inlineStr">
        <is>
          <t>0.9.8zh</t>
        </is>
      </c>
      <c r="J88" t="inlineStr">
        <is>
          <t>3.3.7</t>
        </is>
      </c>
      <c r="K88" s="2" t="inlineStr">
        <is>
          <t>동일 브랜치 최종 버전, 미해결: CVE-2010-4252, CVE-2010-5298, CVE-2011-1945, CVE-2011-4108, CVE-2011-4576 외 13건; 브랜치 변경 시: 3.3.7; 버전 목록 출처: NVD CPE</t>
        </is>
      </c>
      <c r="L88" t="inlineStr">
        <is>
          <t>NVD</t>
        </is>
      </c>
      <c r="M88" t="inlineStr">
        <is>
          <t>2026-10-10T15:04:38+09:00</t>
        </is>
      </c>
    </row>
    <row r="89">
      <c r="A89" t="inlineStr">
        <is>
          <t>52</t>
        </is>
      </c>
      <c r="B89" t="inlineStr">
        <is>
          <t>OpenSSL</t>
        </is>
      </c>
      <c r="C89" t="inlineStr">
        <is>
          <t>0.9.8h</t>
        </is>
      </c>
      <c r="D89" t="inlineStr">
        <is>
          <t>CVE-2010-0433</t>
        </is>
      </c>
      <c r="E89" s="2" t="inlineStr">
        <is>
          <t>The kssl_keytab_is_available function in ssl/kssl.c in OpenSSL before 0.9.8n, when Kerberos is enabled but Kerberos configuration files cannot be opened, does not check a certain return value, which allows remote attackers to cause a denial of service (NULL pointer dereference and daemon crash) via SSL cipher negotiation, as demonstrated by a chroot installation of Dovecot or stunnel without Kerberos configuration files inside the chroot.</t>
        </is>
      </c>
      <c r="F89" t="n">
        <v>4.3</v>
      </c>
      <c r="G89" s="4" t="inlineStr">
        <is>
          <t>MEDIUM</t>
        </is>
      </c>
      <c r="H89" s="2">
        <f>0.9.8h; &lt;=0.9.8m</f>
        <v/>
      </c>
      <c r="I89" t="inlineStr">
        <is>
          <t>0.9.8zh</t>
        </is>
      </c>
      <c r="J89" t="inlineStr">
        <is>
          <t>3.3.7</t>
        </is>
      </c>
      <c r="K89" s="2" t="inlineStr">
        <is>
          <t>동일 브랜치 최종 버전, 미해결: CVE-2010-4252, CVE-2010-5298, CVE-2011-1945, CVE-2011-4108, CVE-2011-4576 외 13건; 브랜치 변경 시: 3.3.7; 버전 목록 출처: NVD CPE</t>
        </is>
      </c>
      <c r="L89" t="inlineStr">
        <is>
          <t>NVD</t>
        </is>
      </c>
      <c r="M89" t="inlineStr">
        <is>
          <t>2026-10-10T15:04:38+09:00</t>
        </is>
      </c>
    </row>
    <row r="90">
      <c r="A90" t="inlineStr">
        <is>
          <t>52</t>
        </is>
      </c>
      <c r="B90" t="inlineStr">
        <is>
          <t>OpenSSL</t>
        </is>
      </c>
      <c r="C90" t="inlineStr">
        <is>
          <t>0.9.8h</t>
        </is>
      </c>
      <c r="D90" t="inlineStr">
        <is>
          <t>CVE-2010-4180</t>
        </is>
      </c>
      <c r="E90" s="2" t="inlineStr">
        <is>
          <t>OpenSSL before 0.9.8q, and 1.0.x before 1.0.0c, when SSL_OP_NETSCAPE_REUSE_CIPHER_CHANGE_BUG is enabled, does not properly prevent modification of the ciphersuite in the session cache, which allows remote attackers to force the downgrade to an unintended cipher via vectors involving sniffing network traffic to discover a session identifier.</t>
        </is>
      </c>
      <c r="F90" t="n">
        <v>4.3</v>
      </c>
      <c r="G90" s="4" t="inlineStr">
        <is>
          <t>MEDIUM</t>
        </is>
      </c>
      <c r="H90" s="2" t="inlineStr">
        <is>
          <t>&lt;0.9.8q</t>
        </is>
      </c>
      <c r="I90" t="inlineStr">
        <is>
          <t>0.9.8zh</t>
        </is>
      </c>
      <c r="J90" t="inlineStr">
        <is>
          <t>3.3.7</t>
        </is>
      </c>
      <c r="K90" s="2" t="inlineStr">
        <is>
          <t>동일 브랜치 최종 버전, 미해결: CVE-2010-4252, CVE-2010-5298, CVE-2011-1945, CVE-2011-4108, CVE-2011-4576 외 13건; 브랜치 변경 시: 3.3.7; 버전 목록 출처: NVD CPE</t>
        </is>
      </c>
      <c r="L90" t="inlineStr">
        <is>
          <t>NVD</t>
        </is>
      </c>
      <c r="M90" t="inlineStr">
        <is>
          <t>2026-10-10T15:04:38+09:00</t>
        </is>
      </c>
    </row>
    <row r="91">
      <c r="A91" t="inlineStr">
        <is>
          <t>52</t>
        </is>
      </c>
      <c r="B91" t="inlineStr">
        <is>
          <t>OpenSSL</t>
        </is>
      </c>
      <c r="C91" t="inlineStr">
        <is>
          <t>0.9.8h</t>
        </is>
      </c>
      <c r="D91" t="inlineStr">
        <is>
          <t>CVE-2011-4108</t>
        </is>
      </c>
      <c r="E91" s="2" t="inlineStr">
        <is>
          <t>The DTLS implementation in OpenSSL before 0.9.8s and 1.x before 1.0.0f performs a MAC check only if certain padding is valid, which makes it easier for remote attackers to recover plaintext via a padding oracle attack.</t>
        </is>
      </c>
      <c r="F91" t="n">
        <v>4.3</v>
      </c>
      <c r="G91" s="4" t="inlineStr">
        <is>
          <t>MEDIUM</t>
        </is>
      </c>
      <c r="H91" s="2">
        <f>0.9.8h; &lt;=0.9.8r; &lt;=1.0.0e</f>
        <v/>
      </c>
      <c r="I91" t="inlineStr">
        <is>
          <t>0.9.8zh</t>
        </is>
      </c>
      <c r="J91" t="inlineStr">
        <is>
          <t>3.3.7</t>
        </is>
      </c>
      <c r="K91" s="2" t="inlineStr">
        <is>
          <t>동일 브랜치 최종 버전, 미해결: CVE-2010-4252, CVE-2010-5298, CVE-2011-1945, CVE-2011-4108, CVE-2011-4576 외 13건; 브랜치 변경 시: 3.3.7; 버전 목록 출처: NVD CPE</t>
        </is>
      </c>
      <c r="L91" t="inlineStr">
        <is>
          <t>NVD</t>
        </is>
      </c>
      <c r="M91" t="inlineStr">
        <is>
          <t>2026-10-10T15:04:38+09:00</t>
        </is>
      </c>
    </row>
    <row r="92">
      <c r="A92" t="inlineStr">
        <is>
          <t>52</t>
        </is>
      </c>
      <c r="B92" t="inlineStr">
        <is>
          <t>OpenSSL</t>
        </is>
      </c>
      <c r="C92" t="inlineStr">
        <is>
          <t>0.9.8h</t>
        </is>
      </c>
      <c r="D92" t="inlineStr">
        <is>
          <t>CVE-2011-4577</t>
        </is>
      </c>
      <c r="E92" s="2" t="inlineStr">
        <is>
          <t>OpenSSL before 0.9.8s and 1.x before 1.0.0f, when RFC 3779 support is enabled, allows remote attackers to cause a denial of service (assertion failure) via an X.509 certificate containing certificate-extension data associated with (1) IP address blocks or (2) Autonomous System (AS) identifiers.</t>
        </is>
      </c>
      <c r="F92" t="n">
        <v>4.3</v>
      </c>
      <c r="G92" s="4" t="inlineStr">
        <is>
          <t>MEDIUM</t>
        </is>
      </c>
      <c r="H92" s="2">
        <f>0.9.8h; &lt;=0.9.8r; &lt;=1.0.0e</f>
        <v/>
      </c>
      <c r="I92" t="inlineStr">
        <is>
          <t>0.9.8zh</t>
        </is>
      </c>
      <c r="J92" t="inlineStr">
        <is>
          <t>3.3.7</t>
        </is>
      </c>
      <c r="K92" s="2" t="inlineStr">
        <is>
          <t>동일 브랜치 최종 버전, 미해결: CVE-2010-4252, CVE-2010-5298, CVE-2011-1945, CVE-2011-4108, CVE-2011-4576 외 13건; 브랜치 변경 시: 3.3.7; 버전 목록 출처: NVD CPE</t>
        </is>
      </c>
      <c r="L92" t="inlineStr">
        <is>
          <t>NVD</t>
        </is>
      </c>
      <c r="M92" t="inlineStr">
        <is>
          <t>2026-10-10T15:04:38+09:00</t>
        </is>
      </c>
    </row>
    <row r="93">
      <c r="A93" t="inlineStr">
        <is>
          <t>52</t>
        </is>
      </c>
      <c r="B93" t="inlineStr">
        <is>
          <t>OpenSSL</t>
        </is>
      </c>
      <c r="C93" t="inlineStr">
        <is>
          <t>0.9.8h</t>
        </is>
      </c>
      <c r="D93" t="inlineStr">
        <is>
          <t>CVE-2013-6449</t>
        </is>
      </c>
      <c r="E93" s="2" t="inlineStr">
        <is>
          <t>The ssl_get_algorithm2 function in ssl/s3_lib.c in OpenSSL before 1.0.2 obtains a certain version number from an incorrect data structure, which allows remote attackers to cause a denial of service (daemon crash) via crafted traffic from a TLS 1.2 client.</t>
        </is>
      </c>
      <c r="F93" t="n">
        <v>4.3</v>
      </c>
      <c r="G93" s="4" t="inlineStr">
        <is>
          <t>MEDIUM</t>
        </is>
      </c>
      <c r="H93" s="2" t="inlineStr">
        <is>
          <t>&lt;=1.0.1e</t>
        </is>
      </c>
      <c r="I93" t="inlineStr">
        <is>
          <t>0.9.8zh</t>
        </is>
      </c>
      <c r="J93" t="inlineStr">
        <is>
          <t>3.3.7</t>
        </is>
      </c>
      <c r="K93" s="2" t="inlineStr">
        <is>
          <t>동일 브랜치 최종 버전, 미해결: CVE-2010-4252, CVE-2010-5298, CVE-2011-1945, CVE-2011-4108, CVE-2011-4576 외 13건; 브랜치 변경 시: 3.3.7; 버전 목록 출처: NVD CPE</t>
        </is>
      </c>
      <c r="L93" t="inlineStr">
        <is>
          <t>NVD</t>
        </is>
      </c>
      <c r="M93" t="inlineStr">
        <is>
          <t>2026-10-10T15:04:38+09:00</t>
        </is>
      </c>
    </row>
    <row r="94">
      <c r="A94" t="inlineStr">
        <is>
          <t>52</t>
        </is>
      </c>
      <c r="B94" t="inlineStr">
        <is>
          <t>OpenSSL</t>
        </is>
      </c>
      <c r="C94" t="inlineStr">
        <is>
          <t>0.9.8h</t>
        </is>
      </c>
      <c r="D94" t="inlineStr">
        <is>
          <t>CVE-2014-0221</t>
        </is>
      </c>
      <c r="E94" s="2" t="inlineStr">
        <is>
          <t>The dtls1_get_message_fragment function in d1_both.c in OpenSSL before 0.9.8za, 1.0.0 before 1.0.0m, and 1.0.1 before 1.0.1h allows remote attackers to cause a denial of service (recursion and client crash) via a DTLS hello message in an invalid DTLS handshake.</t>
        </is>
      </c>
      <c r="F94" t="n">
        <v>4.3</v>
      </c>
      <c r="G94" s="4" t="inlineStr">
        <is>
          <t>MEDIUM</t>
        </is>
      </c>
      <c r="H94" s="2" t="inlineStr">
        <is>
          <t>&gt;=0.9.8, &lt;0.9.8za</t>
        </is>
      </c>
      <c r="I94" t="inlineStr">
        <is>
          <t>0.9.8zh</t>
        </is>
      </c>
      <c r="J94" t="inlineStr">
        <is>
          <t>3.3.7</t>
        </is>
      </c>
      <c r="K94" s="2" t="inlineStr">
        <is>
          <t>동일 브랜치 최종 버전, 미해결: CVE-2010-4252, CVE-2010-5298, CVE-2011-1945, CVE-2011-4108, CVE-2011-4576 외 13건; 브랜치 변경 시: 3.3.7; 버전 목록 출처: NVD CPE</t>
        </is>
      </c>
      <c r="L94" t="inlineStr">
        <is>
          <t>NVD</t>
        </is>
      </c>
      <c r="M94" t="inlineStr">
        <is>
          <t>2026-10-10T15:04:38+09:00</t>
        </is>
      </c>
    </row>
    <row r="95">
      <c r="A95" t="inlineStr">
        <is>
          <t>52</t>
        </is>
      </c>
      <c r="B95" t="inlineStr">
        <is>
          <t>OpenSSL</t>
        </is>
      </c>
      <c r="C95" t="inlineStr">
        <is>
          <t>0.9.8h</t>
        </is>
      </c>
      <c r="D95" t="inlineStr">
        <is>
          <t>CVE-2014-3470</t>
        </is>
      </c>
      <c r="E95" s="2" t="inlineStr">
        <is>
          <t>The ssl3_send_client_key_exchange function in s3_clnt.c in OpenSSL before 0.9.8za, 1.0.0 before 1.0.0m, and 1.0.1 before 1.0.1h, when an anonymous ECDH cipher suite is used, allows remote attackers to cause a denial of service (NULL pointer dereference and client crash) by triggering a NULL certificate value.</t>
        </is>
      </c>
      <c r="F95" t="n">
        <v>4.3</v>
      </c>
      <c r="G95" s="4" t="inlineStr">
        <is>
          <t>MEDIUM</t>
        </is>
      </c>
      <c r="H95" s="2" t="inlineStr">
        <is>
          <t>&lt;0.9.8za</t>
        </is>
      </c>
      <c r="I95" t="inlineStr">
        <is>
          <t>0.9.8zh</t>
        </is>
      </c>
      <c r="J95" t="inlineStr">
        <is>
          <t>3.3.7</t>
        </is>
      </c>
      <c r="K95" s="2" t="inlineStr">
        <is>
          <t>동일 브랜치 최종 버전, 미해결: CVE-2010-4252, CVE-2010-5298, CVE-2011-1945, CVE-2011-4108, CVE-2011-4576 외 13건; 브랜치 변경 시: 3.3.7; 버전 목록 출처: NVD CPE</t>
        </is>
      </c>
      <c r="L95" t="inlineStr">
        <is>
          <t>NVD</t>
        </is>
      </c>
      <c r="M95" t="inlineStr">
        <is>
          <t>2026-10-10T15:04:38+09:00</t>
        </is>
      </c>
    </row>
    <row r="96">
      <c r="A96" t="inlineStr">
        <is>
          <t>52</t>
        </is>
      </c>
      <c r="B96" t="inlineStr">
        <is>
          <t>OpenSSL</t>
        </is>
      </c>
      <c r="C96" t="inlineStr">
        <is>
          <t>0.9.8h</t>
        </is>
      </c>
      <c r="D96" t="inlineStr">
        <is>
          <t>CVE-2014-3508</t>
        </is>
      </c>
      <c r="E96" s="2" t="inlineStr">
        <is>
          <t>The OBJ_obj2txt function in crypto/objects/obj_dat.c in OpenSSL 0.9.8 before 0.9.8zb, 1.0.0 before 1.0.0n, and 1.0.1 before 1.0.1i, when pretty printing is used, does not ensure the presence of '\0' characters, which allows context-dependent attackers to obtain sensitive information from process stack memory by reading output from X509_name_oneline, X509_name_print_ex, and unspecified other functions.</t>
        </is>
      </c>
      <c r="F96" t="n">
        <v>4.3</v>
      </c>
      <c r="G96" s="4" t="inlineStr">
        <is>
          <t>MEDIUM</t>
        </is>
      </c>
      <c r="H96" s="2">
        <f>0.9.8h</f>
        <v/>
      </c>
      <c r="I96" t="inlineStr">
        <is>
          <t>0.9.8zh</t>
        </is>
      </c>
      <c r="J96" t="inlineStr">
        <is>
          <t>3.3.7</t>
        </is>
      </c>
      <c r="K96" s="2" t="inlineStr">
        <is>
          <t>동일 브랜치 최종 버전, 미해결: CVE-2010-4252, CVE-2010-5298, CVE-2011-1945, CVE-2011-4108, CVE-2011-4576 외 13건; 브랜치 변경 시: 3.3.7; 버전 목록 출처: NVD CPE</t>
        </is>
      </c>
      <c r="L96" t="inlineStr">
        <is>
          <t>NVD</t>
        </is>
      </c>
      <c r="M96" t="inlineStr">
        <is>
          <t>2026-10-10T15:04:38+09:00</t>
        </is>
      </c>
    </row>
    <row r="97">
      <c r="A97" t="inlineStr">
        <is>
          <t>52</t>
        </is>
      </c>
      <c r="B97" t="inlineStr">
        <is>
          <t>OpenSSL</t>
        </is>
      </c>
      <c r="C97" t="inlineStr">
        <is>
          <t>0.9.8h</t>
        </is>
      </c>
      <c r="D97" t="inlineStr">
        <is>
          <t>CVE-2014-3510</t>
        </is>
      </c>
      <c r="E97" s="2" t="inlineStr">
        <is>
          <t>The ssl3_send_client_key_exchange function in s3_clnt.c in OpenSSL 0.9.8 before 0.9.8zb, 1.0.0 before 1.0.0n, and 1.0.1 before 1.0.1i allows remote DTLS servers to cause a denial of service (NULL pointer dereference and client application crash) via a crafted handshake message in conjunction with a (1) anonymous DH or (2) anonymous ECDH ciphersuite.</t>
        </is>
      </c>
      <c r="F97" t="n">
        <v>4.3</v>
      </c>
      <c r="G97" s="4" t="inlineStr">
        <is>
          <t>MEDIUM</t>
        </is>
      </c>
      <c r="H97" s="2">
        <f>0.9.8h</f>
        <v/>
      </c>
      <c r="I97" t="inlineStr">
        <is>
          <t>0.9.8zh</t>
        </is>
      </c>
      <c r="J97" t="inlineStr">
        <is>
          <t>3.3.7</t>
        </is>
      </c>
      <c r="K97" s="2" t="inlineStr">
        <is>
          <t>동일 브랜치 최종 버전, 미해결: CVE-2010-4252, CVE-2010-5298, CVE-2011-1945, CVE-2011-4108, CVE-2011-4576 외 13건; 브랜치 변경 시: 3.3.7; 버전 목록 출처: NVD CPE</t>
        </is>
      </c>
      <c r="L97" t="inlineStr">
        <is>
          <t>NVD</t>
        </is>
      </c>
      <c r="M97" t="inlineStr">
        <is>
          <t>2026-10-10T15:04:38+09:00</t>
        </is>
      </c>
    </row>
    <row r="98">
      <c r="A98" t="inlineStr">
        <is>
          <t>52</t>
        </is>
      </c>
      <c r="B98" t="inlineStr">
        <is>
          <t>OpenSSL</t>
        </is>
      </c>
      <c r="C98" t="inlineStr">
        <is>
          <t>0.9.8h</t>
        </is>
      </c>
      <c r="D98" t="inlineStr">
        <is>
          <t>CVE-2014-3568</t>
        </is>
      </c>
      <c r="E98" s="2" t="inlineStr">
        <is>
          <t>OpenSSL before 0.9.8zc, 1.0.0 before 1.0.0o, and 1.0.1 before 1.0.1j does not properly enforce the no-ssl3 build option, which allows remote attackers to bypass intended access restrictions via an SSL 3.0 handshake, related to s23_clnt.c and s23_srvr.c.</t>
        </is>
      </c>
      <c r="F98" t="n">
        <v>4.3</v>
      </c>
      <c r="G98" s="4" t="inlineStr">
        <is>
          <t>MEDIUM</t>
        </is>
      </c>
      <c r="H98" s="2" t="inlineStr">
        <is>
          <t>&lt;=0.9.8zb</t>
        </is>
      </c>
      <c r="I98" t="inlineStr">
        <is>
          <t>0.9.8zh</t>
        </is>
      </c>
      <c r="J98" t="inlineStr">
        <is>
          <t>3.3.7</t>
        </is>
      </c>
      <c r="K98" s="2" t="inlineStr">
        <is>
          <t>동일 브랜치 최종 버전, 미해결: CVE-2010-4252, CVE-2010-5298, CVE-2011-1945, CVE-2011-4108, CVE-2011-4576 외 13건; 브랜치 변경 시: 3.3.7; 버전 목록 출처: NVD CPE</t>
        </is>
      </c>
      <c r="L98" t="inlineStr">
        <is>
          <t>NVD</t>
        </is>
      </c>
      <c r="M98" t="inlineStr">
        <is>
          <t>2026-10-10T15:04:38+09:00</t>
        </is>
      </c>
    </row>
    <row r="99">
      <c r="A99" t="inlineStr">
        <is>
          <t>52</t>
        </is>
      </c>
      <c r="B99" t="inlineStr">
        <is>
          <t>OpenSSL</t>
        </is>
      </c>
      <c r="C99" t="inlineStr">
        <is>
          <t>0.9.8h</t>
        </is>
      </c>
      <c r="D99" t="inlineStr">
        <is>
          <t>CVE-2015-0204</t>
        </is>
      </c>
      <c r="E99" s="2" t="inlineStr">
        <is>
          <t>The ssl3_get_key_exchange function in s3_clnt.c in OpenSSL before 0.9.8zd, 1.0.0 before 1.0.0p, and 1.0.1 before 1.0.1k allows remote SSL servers to conduct RSA-to-EXPORT_RSA downgrade attacks and facilitate brute-force decryption by offering a weak ephemeral RSA key in a noncompliant role, related to the "FREAK" issue.  NOTE: the scope of this CVE is only client code based on OpenSSL, not EXPORT_RSA issues associated with servers or other TLS implementations.</t>
        </is>
      </c>
      <c r="F99" t="n">
        <v>4.3</v>
      </c>
      <c r="G99" s="4" t="inlineStr">
        <is>
          <t>MEDIUM</t>
        </is>
      </c>
      <c r="H99" s="2" t="inlineStr">
        <is>
          <t>&lt;=0.9.8zc</t>
        </is>
      </c>
      <c r="I99" t="inlineStr">
        <is>
          <t>0.9.8zh</t>
        </is>
      </c>
      <c r="J99" t="inlineStr">
        <is>
          <t>3.3.7</t>
        </is>
      </c>
      <c r="K99" s="2" t="inlineStr">
        <is>
          <t>동일 브랜치 최종 버전, 미해결: CVE-2010-4252, CVE-2010-5298, CVE-2011-1945, CVE-2011-4108, CVE-2011-4576 외 13건; 브랜치 변경 시: 3.3.7; 버전 목록 출처: NVD CPE</t>
        </is>
      </c>
      <c r="L99" t="inlineStr">
        <is>
          <t>NVD</t>
        </is>
      </c>
      <c r="M99" t="inlineStr">
        <is>
          <t>2026-10-10T15:04:38+09:00</t>
        </is>
      </c>
    </row>
    <row r="100">
      <c r="A100" t="inlineStr">
        <is>
          <t>52</t>
        </is>
      </c>
      <c r="B100" t="inlineStr">
        <is>
          <t>OpenSSL</t>
        </is>
      </c>
      <c r="C100" t="inlineStr">
        <is>
          <t>0.9.8h</t>
        </is>
      </c>
      <c r="D100" t="inlineStr">
        <is>
          <t>CVE-2015-1788</t>
        </is>
      </c>
      <c r="E100" s="2" t="inlineStr">
        <is>
          <t>The BN_GF2m_mod_inv function in crypto/bn/bn_gf2m.c in OpenSSL before 0.9.8s, 1.0.0 before 1.0.0e, 1.0.1 before 1.0.1n, and 1.0.2 before 1.0.2b does not properly handle ECParameters structures in which the curve is over a malformed binary polynomial field, which allows remote attackers to cause a denial of service (infinite loop) via a session that uses an Elliptic Curve algorithm, as demonstrated by an attack against a server that supports client authentication.</t>
        </is>
      </c>
      <c r="F100" t="n">
        <v>4.3</v>
      </c>
      <c r="G100" s="4" t="inlineStr">
        <is>
          <t>MEDIUM</t>
        </is>
      </c>
      <c r="H100" s="2" t="inlineStr">
        <is>
          <t>&lt;=0.9.8zf</t>
        </is>
      </c>
      <c r="I100" t="inlineStr">
        <is>
          <t>0.9.8zh</t>
        </is>
      </c>
      <c r="J100" t="inlineStr">
        <is>
          <t>3.3.7</t>
        </is>
      </c>
      <c r="K100" s="2" t="inlineStr">
        <is>
          <t>동일 브랜치 최종 버전, 미해결: CVE-2010-4252, CVE-2010-5298, CVE-2011-1945, CVE-2011-4108, CVE-2011-4576 외 13건; 브랜치 변경 시: 3.3.7; 버전 목록 출처: NVD CPE</t>
        </is>
      </c>
      <c r="L100" t="inlineStr">
        <is>
          <t>NVD</t>
        </is>
      </c>
      <c r="M100" t="inlineStr">
        <is>
          <t>2026-10-10T15:04:38+09:00</t>
        </is>
      </c>
    </row>
    <row r="101">
      <c r="A101" t="inlineStr">
        <is>
          <t>52</t>
        </is>
      </c>
      <c r="B101" t="inlineStr">
        <is>
          <t>OpenSSL</t>
        </is>
      </c>
      <c r="C101" t="inlineStr">
        <is>
          <t>0.9.8h</t>
        </is>
      </c>
      <c r="D101" t="inlineStr">
        <is>
          <t>CVE-2010-5298</t>
        </is>
      </c>
      <c r="E101" s="2" t="inlineStr">
        <is>
          <t>Race condition in the ssl3_read_bytes function in s3_pkt.c in OpenSSL through 1.0.1g, when SSL_MODE_RELEASE_BUFFERS is enabled, allows remote attackers to inject data across sessions or cause a denial of service (use-after-free and parsing error) via an SSL connection in a multithreaded environment.</t>
        </is>
      </c>
      <c r="F101" t="n">
        <v>4</v>
      </c>
      <c r="G101" s="4" t="inlineStr">
        <is>
          <t>MEDIUM</t>
        </is>
      </c>
      <c r="H101" s="2" t="inlineStr">
        <is>
          <t>&lt;=1.0.1g</t>
        </is>
      </c>
      <c r="I101" t="inlineStr">
        <is>
          <t>0.9.8zh</t>
        </is>
      </c>
      <c r="J101" t="inlineStr">
        <is>
          <t>3.3.7</t>
        </is>
      </c>
      <c r="K101" s="2" t="inlineStr">
        <is>
          <t>동일 브랜치 최종 버전, 미해결: CVE-2010-4252, CVE-2010-5298, CVE-2011-1945, CVE-2011-4108, CVE-2011-4576 외 13건; 브랜치 변경 시: 3.3.7; 버전 목록 출처: NVD CPE</t>
        </is>
      </c>
      <c r="L101" t="inlineStr">
        <is>
          <t>NVD</t>
        </is>
      </c>
      <c r="M101" t="inlineStr">
        <is>
          <t>2026-10-10T15:04:38+09:00</t>
        </is>
      </c>
    </row>
    <row r="102">
      <c r="A102" t="inlineStr">
        <is>
          <t>52</t>
        </is>
      </c>
      <c r="B102" t="inlineStr">
        <is>
          <t>OpenSSL</t>
        </is>
      </c>
      <c r="C102" t="inlineStr">
        <is>
          <t>0.9.8h</t>
        </is>
      </c>
      <c r="D102" t="inlineStr">
        <is>
          <t>CVE-2015-4000</t>
        </is>
      </c>
      <c r="E102" s="2" t="inlineStr">
        <is>
          <t>The TLS protocol 1.2 and earlier, when a DHE_EXPORT ciphersuite is enabled on a server but not on a client, does not properly convey a DHE_EXPORT choice, which allows man-in-the-middle attackers to conduct cipher-downgrade attacks by rewriting a ClientHello with DHE replaced by DHE_EXPORT and then rewriting a ServerHello with DHE_EXPORT replaced by DHE, aka the "Logjam" issue.</t>
        </is>
      </c>
      <c r="F102" t="n">
        <v>3.7</v>
      </c>
      <c r="G102" s="6" t="inlineStr">
        <is>
          <t>LOW</t>
        </is>
      </c>
      <c r="H102" s="2" t="inlineStr">
        <is>
          <t>&lt;=1.0.1m</t>
        </is>
      </c>
      <c r="I102" t="inlineStr">
        <is>
          <t>0.9.8zh</t>
        </is>
      </c>
      <c r="J102" t="inlineStr">
        <is>
          <t>3.3.7</t>
        </is>
      </c>
      <c r="K102" s="2" t="inlineStr">
        <is>
          <t>동일 브랜치 최종 버전, 미해결: CVE-2010-4252, CVE-2010-5298, CVE-2011-1945, CVE-2011-4108, CVE-2011-4576 외 13건; 브랜치 변경 시: 3.3.7; 버전 목록 출처: NVD CPE</t>
        </is>
      </c>
      <c r="L102" t="inlineStr">
        <is>
          <t>NVD</t>
        </is>
      </c>
      <c r="M102" t="inlineStr">
        <is>
          <t>2026-10-10T15:04:38+09:00</t>
        </is>
      </c>
    </row>
    <row r="103">
      <c r="A103" t="inlineStr">
        <is>
          <t>52</t>
        </is>
      </c>
      <c r="B103" t="inlineStr">
        <is>
          <t>OpenSSL</t>
        </is>
      </c>
      <c r="C103" t="inlineStr">
        <is>
          <t>0.9.8h</t>
        </is>
      </c>
      <c r="D103" t="inlineStr">
        <is>
          <t>CVE-2014-3566</t>
        </is>
      </c>
      <c r="E103" s="2" t="inlineStr">
        <is>
          <t>The SSL protocol 3.0, as used in OpenSSL through 1.0.1i and other products, uses nondeterministic CBC padding, which makes it easier for man-in-the-middle attackers to obtain cleartext data via a padding-oracle attack, aka the "POODLE" issue.</t>
        </is>
      </c>
      <c r="F103" t="n">
        <v>3.4</v>
      </c>
      <c r="G103" s="6" t="inlineStr">
        <is>
          <t>LOW</t>
        </is>
      </c>
      <c r="H103" s="2">
        <f>0.9.8h</f>
        <v/>
      </c>
      <c r="I103" t="inlineStr">
        <is>
          <t>0.9.8zh</t>
        </is>
      </c>
      <c r="J103" t="inlineStr">
        <is>
          <t>3.3.7</t>
        </is>
      </c>
      <c r="K103" s="2" t="inlineStr">
        <is>
          <t>동일 브랜치 최종 버전, 미해결: CVE-2010-4252, CVE-2010-5298, CVE-2011-1945, CVE-2011-4108, CVE-2011-4576 외 13건; 브랜치 변경 시: 3.3.7; 버전 목록 출처: NVD CPE</t>
        </is>
      </c>
      <c r="L103" t="inlineStr">
        <is>
          <t>NVD</t>
        </is>
      </c>
      <c r="M103" t="inlineStr">
        <is>
          <t>2026-10-10T15:04:38+09:00</t>
        </is>
      </c>
    </row>
    <row r="104">
      <c r="A104" t="inlineStr">
        <is>
          <t>52</t>
        </is>
      </c>
      <c r="B104" t="inlineStr">
        <is>
          <t>OpenSSL</t>
        </is>
      </c>
      <c r="C104" t="inlineStr">
        <is>
          <t>0.9.8h</t>
        </is>
      </c>
      <c r="D104" t="inlineStr">
        <is>
          <t>CVE-2009-0591</t>
        </is>
      </c>
      <c r="E104" s="2" t="inlineStr">
        <is>
          <t>The CMS_verify function in OpenSSL 0.9.8h through 0.9.8j, when CMS is enabled, does not properly handle errors associated with malformed signed attributes, which allows remote attackers to repudiate a signature that originally appeared to be valid but was actually invalid.</t>
        </is>
      </c>
      <c r="F104" t="n">
        <v>2.6</v>
      </c>
      <c r="G104" s="6" t="inlineStr">
        <is>
          <t>LOW</t>
        </is>
      </c>
      <c r="H104" s="2">
        <f>0.9.8h</f>
        <v/>
      </c>
      <c r="I104" t="inlineStr">
        <is>
          <t>0.9.8zh</t>
        </is>
      </c>
      <c r="J104" t="inlineStr">
        <is>
          <t>3.3.7</t>
        </is>
      </c>
      <c r="K104" s="2" t="inlineStr">
        <is>
          <t>동일 브랜치 최종 버전, 미해결: CVE-2010-4252, CVE-2010-5298, CVE-2011-1945, CVE-2011-4108, CVE-2011-4576 외 13건; 브랜치 변경 시: 3.3.7; 버전 목록 출처: NVD CPE</t>
        </is>
      </c>
      <c r="L104" t="inlineStr">
        <is>
          <t>NVD</t>
        </is>
      </c>
      <c r="M104" t="inlineStr">
        <is>
          <t>2026-10-10T15:04:38+09:00</t>
        </is>
      </c>
    </row>
    <row r="105">
      <c r="A105" t="inlineStr">
        <is>
          <t>52</t>
        </is>
      </c>
      <c r="B105" t="inlineStr">
        <is>
          <t>OpenSSL</t>
        </is>
      </c>
      <c r="C105" t="inlineStr">
        <is>
          <t>0.9.8h</t>
        </is>
      </c>
      <c r="D105" t="inlineStr">
        <is>
          <t>CVE-2011-1945</t>
        </is>
      </c>
      <c r="E105" s="2" t="inlineStr">
        <is>
          <t>The elliptic curve cryptography (ECC) subsystem in OpenSSL 1.0.0d and earlier, when the Elliptic Curve Digital Signature Algorithm (ECDSA) is used for the ECDHE_ECDSA cipher suite, does not properly implement curves over binary fields, which makes it easier for context-dependent attackers to determine private keys via a timing attack and a lattice calculation.</t>
        </is>
      </c>
      <c r="F105" t="n">
        <v>2.6</v>
      </c>
      <c r="G105" s="6" t="inlineStr">
        <is>
          <t>LOW</t>
        </is>
      </c>
      <c r="H105" s="2">
        <f>0.9.8h; &lt;=1.0.0d</f>
        <v/>
      </c>
      <c r="I105" t="inlineStr">
        <is>
          <t>0.9.8zh</t>
        </is>
      </c>
      <c r="J105" t="inlineStr">
        <is>
          <t>3.3.7</t>
        </is>
      </c>
      <c r="K105" s="2" t="inlineStr">
        <is>
          <t>동일 브랜치 최종 버전, 미해결: CVE-2010-4252, CVE-2010-5298, CVE-2011-1945, CVE-2011-4108, CVE-2011-4576 외 13건; 브랜치 변경 시: 3.3.7; 버전 목록 출처: NVD CPE</t>
        </is>
      </c>
      <c r="L105" t="inlineStr">
        <is>
          <t>NVD</t>
        </is>
      </c>
      <c r="M105" t="inlineStr">
        <is>
          <t>2026-10-10T15:04:38+09:00</t>
        </is>
      </c>
    </row>
    <row r="106">
      <c r="A106" t="inlineStr">
        <is>
          <t>52</t>
        </is>
      </c>
      <c r="B106" t="inlineStr">
        <is>
          <t>OpenSSL</t>
        </is>
      </c>
      <c r="C106" t="inlineStr">
        <is>
          <t>0.9.8h</t>
        </is>
      </c>
      <c r="D106" t="inlineStr">
        <is>
          <t>CVE-2013-0169</t>
        </is>
      </c>
      <c r="E106" s="2" t="inlineStr">
        <is>
          <t>The TLS protocol 1.1 and 1.2 and the DTLS protocol 1.0 and 1.2, as used in OpenSSL, OpenJDK, PolarSSL, and other products, do not properly consider timing side-channel attacks on a MAC check requirement during the processing of malformed CBC padding, which allows remote attackers to conduct distinguishing attacks and plaintext-recovery attacks via statistical analysis of timing data for crafted packets, aka the "Lucky Thirteen" issue.</t>
        </is>
      </c>
      <c r="F106" t="n">
        <v>2.6</v>
      </c>
      <c r="G106" s="6" t="inlineStr">
        <is>
          <t>LOW</t>
        </is>
      </c>
      <c r="H106" s="2" t="inlineStr">
        <is>
          <t>&gt;=0.9.8, &lt;=0.9.8x</t>
        </is>
      </c>
      <c r="I106" t="inlineStr">
        <is>
          <t>0.9.8zh</t>
        </is>
      </c>
      <c r="J106" t="inlineStr">
        <is>
          <t>3.3.7</t>
        </is>
      </c>
      <c r="K106" s="2" t="inlineStr">
        <is>
          <t>동일 브랜치 최종 버전, 미해결: CVE-2010-4252, CVE-2010-5298, CVE-2011-1945, CVE-2011-4108, CVE-2011-4576 외 13건; 브랜치 변경 시: 3.3.7; 버전 목록 출처: NVD CPE</t>
        </is>
      </c>
      <c r="L106" t="inlineStr">
        <is>
          <t>NVD</t>
        </is>
      </c>
      <c r="M106" t="inlineStr">
        <is>
          <t>2026-10-10T15:04:38+09:00</t>
        </is>
      </c>
    </row>
    <row r="107">
      <c r="A107" t="inlineStr">
        <is>
          <t>52</t>
        </is>
      </c>
      <c r="B107" t="inlineStr">
        <is>
          <t>OpenSSL</t>
        </is>
      </c>
      <c r="C107" t="inlineStr">
        <is>
          <t>0.9.8h</t>
        </is>
      </c>
      <c r="D107" t="inlineStr">
        <is>
          <t>CVE-2014-0076</t>
        </is>
      </c>
      <c r="E107" s="2" t="inlineStr">
        <is>
          <t>The Montgomery ladder implementation in OpenSSL through 1.0.0l does not ensure that certain swap operations have a constant-time behavior, which makes it easier for local users to obtain ECDSA nonces via a FLUSH+RELOAD cache side-channel attack.</t>
        </is>
      </c>
      <c r="F107" t="n">
        <v>1.9</v>
      </c>
      <c r="G107" s="6" t="inlineStr">
        <is>
          <t>LOW</t>
        </is>
      </c>
      <c r="H107" s="2">
        <f>0.9.8h; &lt;=1.0.0l</f>
        <v/>
      </c>
      <c r="I107" t="inlineStr">
        <is>
          <t>0.9.8zh</t>
        </is>
      </c>
      <c r="J107" t="inlineStr">
        <is>
          <t>3.3.7</t>
        </is>
      </c>
      <c r="K107" s="2" t="inlineStr">
        <is>
          <t>동일 브랜치 최종 버전, 미해결: CVE-2010-4252, CVE-2010-5298, CVE-2011-1945, CVE-2011-4108, CVE-2011-4576 외 13건; 브랜치 변경 시: 3.3.7; 버전 목록 출처: NVD CPE</t>
        </is>
      </c>
      <c r="L107" t="inlineStr">
        <is>
          <t>NVD</t>
        </is>
      </c>
      <c r="M107" t="inlineStr">
        <is>
          <t>2026-10-10T15:04:38+09:00</t>
        </is>
      </c>
    </row>
    <row r="108">
      <c r="A108" t="inlineStr">
        <is>
          <t>169</t>
        </is>
      </c>
      <c r="B108" t="inlineStr">
        <is>
          <t>protobuf-java</t>
        </is>
      </c>
      <c r="C108" t="inlineStr">
        <is>
          <t>2.2.0</t>
        </is>
      </c>
      <c r="D108" t="inlineStr">
        <is>
          <t>CVE-2022-3171</t>
        </is>
      </c>
      <c r="E108" s="2" t="inlineStr">
        <is>
          <t>## Summary
A potential Denial of Service issue in `protobuf-java` core and lite was discovered in the parsing procedure for binary and text format data. Input streams containing multiple instances of non-repeated [embedded messages](http://developers.google.com/protocol-buffers/docs/encoding#embedded) with repeated or unknown fields causes objects to be converted back-n-forth between mutable and immutable forms, resulting in potentially long garbage collection pauses. 
Reporter: [OSS Fuzz](https://bugs.chromium.org/p/oss-fuzz/issues/detail?id=48771)
Affected versions: This issue affects both the Java full and lite Protobuf runtimes, as well as Protobuf for Kotlin and JRuby, which themselves use the Java Protobuf runtime.
## Severity
[CVE-2022-3171](https://cve.mitre.org/cgi-bin/cvename.cgi?name=CVE-2022-3171) Medium - CVSS Score: 5.7 (NOTE: there may be a delay in publication)
## Remediation and Mitigation
Please update to the latest available versions of the following packages:
protobuf-java (3.21.7, 3.20.3, 3.19.6, 3.16.3)
protobuf-javalite (3.21.7, 3.20.3, 3.19.6, 3.16.3)
protobuf-kotlin (3.21.7, 3.20.3, 3.19.6, 3.16.3)
protobuf-kotlin-lite (3.21.7, 3.20.3, 3.19.6, 3.16.3)
google-protobuf [JRuby gem only] (3.21.7, 3.20.3, 3.19.6)</t>
        </is>
      </c>
      <c r="F108" t="n">
        <v>7.5</v>
      </c>
      <c r="G108" s="4" t="inlineStr">
        <is>
          <t>MEDIUM</t>
        </is>
      </c>
      <c r="H108" s="2">
        <f>2.2.0; &lt;3.16.3</f>
        <v/>
      </c>
      <c r="I108" t="inlineStr">
        <is>
          <t>3.25.5</t>
        </is>
      </c>
      <c r="J108" t="inlineStr">
        <is>
          <t>4.36.2</t>
        </is>
      </c>
      <c r="K108" s="2" t="inlineStr">
        <is>
          <t>브랜치 변경</t>
        </is>
      </c>
      <c r="L108" t="inlineStr">
        <is>
          <t>OSV</t>
        </is>
      </c>
      <c r="M108" t="inlineStr">
        <is>
          <t>2026-10-10T15:04:38+09:00</t>
        </is>
      </c>
    </row>
    <row r="109">
      <c r="A109" t="inlineStr">
        <is>
          <t>169</t>
        </is>
      </c>
      <c r="B109" t="inlineStr">
        <is>
          <t>protobuf-java</t>
        </is>
      </c>
      <c r="C109" t="inlineStr">
        <is>
          <t>2.2.0</t>
        </is>
      </c>
      <c r="D109" t="inlineStr">
        <is>
          <t>CVE-2024-7254</t>
        </is>
      </c>
      <c r="E109" s="2" t="inlineStr">
        <is>
          <t>### Summary
When parsing unknown fields in the Protobuf Java Lite and Full library, a maliciously crafted message can cause a StackOverflow error and lead to a program crash.
Reporter: Alexis Challande, Trail of Bits Ecosystem Security Team &lt;ecosystem@trailofbits.com&gt;
Affected versions: This issue affects all versions of both the Java full and lite Protobuf runtimes, as well as Protobuf for Kotlin and JRuby, which themselves use the Java Protobuf runtime.
### Severity
[CVE-2024-7254](https://cve.mitre.org/cgi-bin/cvename.cgi?name=CVE-2024-7254) **High** CVSS4.0 Score 8.7 (NOTE: there may be a delay in publication)
This is a potential Denial of Service. Parsing nested groups as unknown fields with DiscardUnknownFieldsParser or Java Protobuf Lite parser, or against Protobuf map fields, creates unbounded recursions that can be abused by an attacker.
### Proof of Concept
For reproduction details, please refer to the unit tests (Protobuf Java [LiteTest](https://github.com/protocolbuffers/protobuf/blob/a037f28ff81ee45ebe008c64ab632bf5372242ce/java/lite/src/test/java/com/google/protobuf/LiteTest.java) and [CodedInputStreamTest](https://github.com/protocolbuffers/protobuf/blob/a037f28ff81ee45ebe008c64ab632bf5372242ce/java/core/src/test/java/com/google/protobuf/CodedInputStreamTest.java)) that identify the specific inputs that exercise this parsing weakness.
### Remediation and Mitigation
We have been working diligently to address this issue and have released a mitigation that is available now. Please update to the latest available versions of the following packages:
* protobuf-java (3.25.5, 4.27.5, 4.28.2)
* protobuf-javalite (3.25.5, 4.27.5, 4.28.2)
* protobuf-kotlin (3.25.5, 4.27.5, 4.28.2)
* protobuf-kotlin-lite (3.25.5, 4.27.5, 4.28.2)
* com-protobuf [JRuby gem only] (3.25.5, 4.27.5, 4.28.2)</t>
        </is>
      </c>
      <c r="F109" t="n">
        <v>7.5</v>
      </c>
      <c r="G109" s="3" t="inlineStr">
        <is>
          <t>HIGH</t>
        </is>
      </c>
      <c r="H109" s="2">
        <f>2.2.0; &lt;3.25.5</f>
        <v/>
      </c>
      <c r="I109" t="inlineStr">
        <is>
          <t>3.25.5</t>
        </is>
      </c>
      <c r="J109" t="inlineStr">
        <is>
          <t>4.36.2</t>
        </is>
      </c>
      <c r="K109" s="2" t="inlineStr">
        <is>
          <t>브랜치 변경</t>
        </is>
      </c>
      <c r="L109" t="inlineStr">
        <is>
          <t>OSV</t>
        </is>
      </c>
      <c r="M109" t="inlineStr">
        <is>
          <t>2026-10-10T15:04:38+09:00</t>
        </is>
      </c>
    </row>
    <row r="110">
      <c r="A110" t="inlineStr">
        <is>
          <t>169</t>
        </is>
      </c>
      <c r="B110" t="inlineStr">
        <is>
          <t>protobuf-java</t>
        </is>
      </c>
      <c r="C110" t="inlineStr">
        <is>
          <t>2.2.0</t>
        </is>
      </c>
      <c r="D110" t="inlineStr">
        <is>
          <t>CVE-2021-22569</t>
        </is>
      </c>
      <c r="E110" s="2" t="inlineStr">
        <is>
          <t>## Summary
A potential Denial of Service issue in protobuf-java was discovered in the parsing procedure for binary data.
Reporter: [OSS-Fuzz](https://github.com/google/oss-fuzz)
Affected versions: All versions of Java Protobufs (including Kotlin and JRuby) prior to the versions listed below. Protobuf "javalite" users (typically Android) are not affected.
## Severity
[CVE-2021-22569](https://cve.mitre.org/cgi-bin/cvename.cgi?name=CVE-2021-22569) **High** - CVSS Score: 7.5,  An implementation weakness in how unknown fields are parsed in Java. A small (~800 KB) malicious payload can occupy the parser for several minutes by creating large numbers of short-lived objects that cause frequent, repeated GC pauses.
## Proof of Concept
For reproduction details, please refer to the oss-fuzz issue that identifies the specific inputs that exercise this parsing weakness.
## Remediation and Mitigation
Please update to the latest available versions of the following packages:
- protobuf-java (3.16.1, 3.18.2, 3.19.2) 
- protobuf-kotlin (3.18.2, 3.19.2)
- google-protobuf [JRuby  gem only] (3.19.2)</t>
        </is>
      </c>
      <c r="F110" t="n">
        <v>5.5</v>
      </c>
      <c r="G110" s="3" t="inlineStr">
        <is>
          <t>HIGH</t>
        </is>
      </c>
      <c r="H110" s="2">
        <f>2.2.0; &lt;3.16.1</f>
        <v/>
      </c>
      <c r="I110" t="inlineStr">
        <is>
          <t>3.25.5</t>
        </is>
      </c>
      <c r="J110" t="inlineStr">
        <is>
          <t>4.36.2</t>
        </is>
      </c>
      <c r="K110" s="2" t="inlineStr">
        <is>
          <t>브랜치 변경</t>
        </is>
      </c>
      <c r="L110" t="inlineStr">
        <is>
          <t>OSV</t>
        </is>
      </c>
      <c r="M110" t="inlineStr">
        <is>
          <t>2026-10-10T15:04:38+09:00</t>
        </is>
      </c>
    </row>
    <row r="111">
      <c r="A111" t="inlineStr">
        <is>
          <t>175</t>
        </is>
      </c>
      <c r="B111" t="inlineStr">
        <is>
          <t>SQLite</t>
        </is>
      </c>
      <c r="C111" t="inlineStr">
        <is>
          <t>3.7.9</t>
        </is>
      </c>
      <c r="D111" t="inlineStr">
        <is>
          <t>CVE-2015-5895</t>
        </is>
      </c>
      <c r="E111" s="2" t="inlineStr">
        <is>
          <t>Multiple unspecified vulnerabilities in SQLite before 3.8.10.2, as used in Apple iOS before 9, have unknown impact and attack vectors.</t>
        </is>
      </c>
      <c r="F111" t="n">
        <v>10</v>
      </c>
      <c r="G111" s="3" t="inlineStr">
        <is>
          <t>HIGH</t>
        </is>
      </c>
      <c r="H111" s="2" t="inlineStr">
        <is>
          <t>&lt;=3.8.10.1</t>
        </is>
      </c>
      <c r="I111" t="inlineStr">
        <is>
          <t>3.7.17</t>
        </is>
      </c>
      <c r="J111" t="inlineStr">
        <is>
          <t>3.53.2</t>
        </is>
      </c>
      <c r="K111" s="2" t="inlineStr">
        <is>
          <t>동일 브랜치 최종 버전, 미해결: CVE-2015-3414, CVE-2015-3415, CVE-2015-3416, CVE-2015-3717, CVE-2015-5895 외 24건; 브랜치 변경 시: 3.53.2; 버전 목록 출처: NVD CPE</t>
        </is>
      </c>
      <c r="L111" t="inlineStr">
        <is>
          <t>NVD</t>
        </is>
      </c>
      <c r="M111" t="inlineStr">
        <is>
          <t>2026-10-10T15:04:38+09:00</t>
        </is>
      </c>
    </row>
    <row r="112">
      <c r="A112" t="inlineStr">
        <is>
          <t>175</t>
        </is>
      </c>
      <c r="B112" t="inlineStr">
        <is>
          <t>SQLite</t>
        </is>
      </c>
      <c r="C112" t="inlineStr">
        <is>
          <t>3.7.9</t>
        </is>
      </c>
      <c r="D112" t="inlineStr">
        <is>
          <t>CVE-2017-10989</t>
        </is>
      </c>
      <c r="E112" s="2" t="inlineStr">
        <is>
          <t>The getNodeSize function in ext/rtree/rtree.c in SQLite through 3.19.3, as used in GDAL and other products, mishandles undersized RTree blobs in a crafted database, leading to a heap-based buffer over-read or possibly unspecified other impact.</t>
        </is>
      </c>
      <c r="F112" t="n">
        <v>9.800000000000001</v>
      </c>
      <c r="G112" s="5" t="inlineStr">
        <is>
          <t>CRITICAL</t>
        </is>
      </c>
      <c r="H112" s="2" t="inlineStr">
        <is>
          <t>&lt;=3.19.3</t>
        </is>
      </c>
      <c r="I112" t="inlineStr">
        <is>
          <t>3.7.17</t>
        </is>
      </c>
      <c r="J112" t="inlineStr">
        <is>
          <t>3.53.2</t>
        </is>
      </c>
      <c r="K112" s="2" t="inlineStr">
        <is>
          <t>동일 브랜치 최종 버전, 미해결: CVE-2015-3414, CVE-2015-3415, CVE-2015-3416, CVE-2015-3717, CVE-2015-5895 외 24건; 브랜치 변경 시: 3.53.2; 버전 목록 출처: NVD CPE</t>
        </is>
      </c>
      <c r="L112" t="inlineStr">
        <is>
          <t>NVD</t>
        </is>
      </c>
      <c r="M112" t="inlineStr">
        <is>
          <t>2026-10-10T15:04:38+09:00</t>
        </is>
      </c>
    </row>
    <row r="113">
      <c r="A113" t="inlineStr">
        <is>
          <t>175</t>
        </is>
      </c>
      <c r="B113" t="inlineStr">
        <is>
          <t>SQLite</t>
        </is>
      </c>
      <c r="C113" t="inlineStr">
        <is>
          <t>3.7.9</t>
        </is>
      </c>
      <c r="D113" t="inlineStr">
        <is>
          <t>CVE-2019-19646</t>
        </is>
      </c>
      <c r="E113" s="2" t="inlineStr">
        <is>
          <t>pragma.c in SQLite through 3.30.1 mishandles NOT NULL in an integrity_check PRAGMA command in certain cases of generated columns.</t>
        </is>
      </c>
      <c r="F113" t="n">
        <v>9.800000000000001</v>
      </c>
      <c r="G113" s="5" t="inlineStr">
        <is>
          <t>CRITICAL</t>
        </is>
      </c>
      <c r="H113" s="2" t="inlineStr">
        <is>
          <t>&lt;=3.30.1</t>
        </is>
      </c>
      <c r="I113" t="inlineStr">
        <is>
          <t>3.7.17</t>
        </is>
      </c>
      <c r="J113" t="inlineStr">
        <is>
          <t>3.53.2</t>
        </is>
      </c>
      <c r="K113" s="2" t="inlineStr">
        <is>
          <t>동일 브랜치 최종 버전, 미해결: CVE-2015-3414, CVE-2015-3415, CVE-2015-3416, CVE-2015-3717, CVE-2015-5895 외 24건; 브랜치 변경 시: 3.53.2; 버전 목록 출처: NVD CPE</t>
        </is>
      </c>
      <c r="L113" t="inlineStr">
        <is>
          <t>NVD</t>
        </is>
      </c>
      <c r="M113" t="inlineStr">
        <is>
          <t>2026-10-10T15:04:38+09:00</t>
        </is>
      </c>
    </row>
    <row r="114">
      <c r="A114" t="inlineStr">
        <is>
          <t>175</t>
        </is>
      </c>
      <c r="B114" t="inlineStr">
        <is>
          <t>SQLite</t>
        </is>
      </c>
      <c r="C114" t="inlineStr">
        <is>
          <t>3.7.9</t>
        </is>
      </c>
      <c r="D114" t="inlineStr">
        <is>
          <t>CVE-2019-8457</t>
        </is>
      </c>
      <c r="E114" s="2" t="inlineStr">
        <is>
          <t>SQLite3 from 3.6.0 to and including 3.27.2 is vulnerable to heap out-of-bound read in the rtreenode() function when handling invalid rtree tables.</t>
        </is>
      </c>
      <c r="F114" t="n">
        <v>9.800000000000001</v>
      </c>
      <c r="G114" s="5" t="inlineStr">
        <is>
          <t>CRITICAL</t>
        </is>
      </c>
      <c r="H114" s="2" t="inlineStr">
        <is>
          <t>&gt;=3.6.0, &lt;=3.27.2</t>
        </is>
      </c>
      <c r="I114" t="inlineStr">
        <is>
          <t>3.7.17</t>
        </is>
      </c>
      <c r="J114" t="inlineStr">
        <is>
          <t>3.53.2</t>
        </is>
      </c>
      <c r="K114" s="2" t="inlineStr">
        <is>
          <t>동일 브랜치 최종 버전, 미해결: CVE-2015-3414, CVE-2015-3415, CVE-2015-3416, CVE-2015-3717, CVE-2015-5895 외 24건; 브랜치 변경 시: 3.53.2; 버전 목록 출처: NVD CPE</t>
        </is>
      </c>
      <c r="L114" t="inlineStr">
        <is>
          <t>NVD</t>
        </is>
      </c>
      <c r="M114" t="inlineStr">
        <is>
          <t>2026-10-10T15:04:38+09:00</t>
        </is>
      </c>
    </row>
    <row r="115">
      <c r="A115" t="inlineStr">
        <is>
          <t>175</t>
        </is>
      </c>
      <c r="B115" t="inlineStr">
        <is>
          <t>SQLite</t>
        </is>
      </c>
      <c r="C115" t="inlineStr">
        <is>
          <t>3.7.9</t>
        </is>
      </c>
      <c r="D115" t="inlineStr">
        <is>
          <t>CVE-2020-11656</t>
        </is>
      </c>
      <c r="E115" s="2" t="inlineStr">
        <is>
          <t>In SQLite through 3.31.1, the ALTER TABLE implementation has a use-after-free, as demonstrated by an ORDER BY clause that belongs to a compound SELECT statement.</t>
        </is>
      </c>
      <c r="F115" t="n">
        <v>9.800000000000001</v>
      </c>
      <c r="G115" s="5" t="inlineStr">
        <is>
          <t>CRITICAL</t>
        </is>
      </c>
      <c r="H115" s="2" t="inlineStr">
        <is>
          <t>&lt;=3.31.1</t>
        </is>
      </c>
      <c r="I115" t="inlineStr">
        <is>
          <t>3.7.17</t>
        </is>
      </c>
      <c r="J115" t="inlineStr">
        <is>
          <t>3.53.2</t>
        </is>
      </c>
      <c r="K115" s="2" t="inlineStr">
        <is>
          <t>동일 브랜치 최종 버전, 미해결: CVE-2015-3414, CVE-2015-3415, CVE-2015-3416, CVE-2015-3717, CVE-2015-5895 외 24건; 브랜치 변경 시: 3.53.2; 버전 목록 출처: NVD CPE</t>
        </is>
      </c>
      <c r="L115" t="inlineStr">
        <is>
          <t>NVD</t>
        </is>
      </c>
      <c r="M115" t="inlineStr">
        <is>
          <t>2026-10-10T15:04:38+09:00</t>
        </is>
      </c>
    </row>
    <row r="116">
      <c r="A116" t="inlineStr">
        <is>
          <t>175</t>
        </is>
      </c>
      <c r="B116" t="inlineStr">
        <is>
          <t>SQLite</t>
        </is>
      </c>
      <c r="C116" t="inlineStr">
        <is>
          <t>3.7.9</t>
        </is>
      </c>
      <c r="D116" t="inlineStr">
        <is>
          <t>CVE-2018-20346</t>
        </is>
      </c>
      <c r="E116" s="2" t="inlineStr">
        <is>
          <t>SQLite before 3.25.3, when the FTS3 extension is enabled, encounters an integer overflow (and resultant buffer overflow) for FTS3 queries that occur after crafted changes to FTS3 shadow tables, allowing remote attackers to execute arbitrary code by leveraging the ability to run arbitrary SQL statements (such as in certain WebSQL use cases), aka Magellan.</t>
        </is>
      </c>
      <c r="F116" t="n">
        <v>8.1</v>
      </c>
      <c r="G116" s="3" t="inlineStr">
        <is>
          <t>HIGH</t>
        </is>
      </c>
      <c r="H116" s="2" t="inlineStr">
        <is>
          <t>&lt;3.25.3</t>
        </is>
      </c>
      <c r="I116" t="inlineStr">
        <is>
          <t>3.7.17</t>
        </is>
      </c>
      <c r="J116" t="inlineStr">
        <is>
          <t>3.53.2</t>
        </is>
      </c>
      <c r="K116" s="2" t="inlineStr">
        <is>
          <t>동일 브랜치 최종 버전, 미해결: CVE-2015-3414, CVE-2015-3415, CVE-2015-3416, CVE-2015-3717, CVE-2015-5895 외 24건; 브랜치 변경 시: 3.53.2; 버전 목록 출처: NVD CPE</t>
        </is>
      </c>
      <c r="L116" t="inlineStr">
        <is>
          <t>NVD</t>
        </is>
      </c>
      <c r="M116" t="inlineStr">
        <is>
          <t>2026-10-10T15:04:38+09:00</t>
        </is>
      </c>
    </row>
    <row r="117">
      <c r="A117" t="inlineStr">
        <is>
          <t>175</t>
        </is>
      </c>
      <c r="B117" t="inlineStr">
        <is>
          <t>SQLite</t>
        </is>
      </c>
      <c r="C117" t="inlineStr">
        <is>
          <t>3.7.9</t>
        </is>
      </c>
      <c r="D117" t="inlineStr">
        <is>
          <t>CVE-2018-20506</t>
        </is>
      </c>
      <c r="E117" s="2" t="inlineStr">
        <is>
          <t>SQLite before 3.25.3, when the FTS3 extension is enabled, encounters an integer overflow (and resultant buffer overflow) for FTS3 queries in a "merge" operation that occurs after crafted changes to FTS3 shadow tables, allowing remote attackers to execute arbitrary code by leveraging the ability to run arbitrary SQL statements (such as in certain WebSQL use cases). This is a different vulnerability than CVE-2018-20346.</t>
        </is>
      </c>
      <c r="F117" t="n">
        <v>8.1</v>
      </c>
      <c r="G117" s="3" t="inlineStr">
        <is>
          <t>HIGH</t>
        </is>
      </c>
      <c r="H117" s="2" t="inlineStr">
        <is>
          <t>&lt;3.25.3</t>
        </is>
      </c>
      <c r="I117" t="inlineStr">
        <is>
          <t>3.7.17</t>
        </is>
      </c>
      <c r="J117" t="inlineStr">
        <is>
          <t>3.53.2</t>
        </is>
      </c>
      <c r="K117" s="2" t="inlineStr">
        <is>
          <t>동일 브랜치 최종 버전, 미해결: CVE-2015-3414, CVE-2015-3415, CVE-2015-3416, CVE-2015-3717, CVE-2015-5895 외 24건; 브랜치 변경 시: 3.53.2; 버전 목록 출처: NVD CPE</t>
        </is>
      </c>
      <c r="L117" t="inlineStr">
        <is>
          <t>NVD</t>
        </is>
      </c>
      <c r="M117" t="inlineStr">
        <is>
          <t>2026-10-10T15:04:38+09:00</t>
        </is>
      </c>
    </row>
    <row r="118">
      <c r="A118" t="inlineStr">
        <is>
          <t>175</t>
        </is>
      </c>
      <c r="B118" t="inlineStr">
        <is>
          <t>SQLite</t>
        </is>
      </c>
      <c r="C118" t="inlineStr">
        <is>
          <t>3.7.9</t>
        </is>
      </c>
      <c r="D118" t="inlineStr">
        <is>
          <t>CVE-2026-11822</t>
        </is>
      </c>
      <c r="E118" s="2" t="inlineStr">
        <is>
          <t>SQLite before 3.53.2 contains memory corruption vulnerabilities in the FTS5 full-text search extension that allow attackers to cause process crashes, memory exhaustion, or arbitrary code execution by supplying a crafted database with malformed FTS5 page data. Attackers can trigger an out-of-bounds read in fts5LeafSeek() via an attacker-controlled loop bound and a heap buffer overflow write in fts5ChunkIterate() through a crafted continuation page causing an integer underflow, exploitable when an FTS5 MATCH query is executed against the malicious database.</t>
        </is>
      </c>
      <c r="F118" t="n">
        <v>7.8</v>
      </c>
      <c r="G118" s="3" t="inlineStr">
        <is>
          <t>HIGH</t>
        </is>
      </c>
      <c r="H118" s="2" t="inlineStr">
        <is>
          <t>&lt;3.53.2</t>
        </is>
      </c>
      <c r="I118" t="inlineStr">
        <is>
          <t>3.7.17</t>
        </is>
      </c>
      <c r="J118" t="inlineStr">
        <is>
          <t>3.53.2</t>
        </is>
      </c>
      <c r="K118" s="2" t="inlineStr">
        <is>
          <t>동일 브랜치 최종 버전, 미해결: CVE-2015-3414, CVE-2015-3415, CVE-2015-3416, CVE-2015-3717, CVE-2015-5895 외 24건; 브랜치 변경 시: 3.53.2; 버전 목록 출처: NVD CPE</t>
        </is>
      </c>
      <c r="L118" t="inlineStr">
        <is>
          <t>NVD</t>
        </is>
      </c>
      <c r="M118" t="inlineStr">
        <is>
          <t>2026-10-10T15:04:38+09:00</t>
        </is>
      </c>
    </row>
    <row r="119">
      <c r="A119" t="inlineStr">
        <is>
          <t>175</t>
        </is>
      </c>
      <c r="B119" t="inlineStr">
        <is>
          <t>SQLite</t>
        </is>
      </c>
      <c r="C119" t="inlineStr">
        <is>
          <t>3.7.9</t>
        </is>
      </c>
      <c r="D119" t="inlineStr">
        <is>
          <t>CVE-2026-11824</t>
        </is>
      </c>
      <c r="E119" s="2" t="inlineStr">
        <is>
          <t>SQLite before 3.53.2 contains a heap-based buffer overflow vulnerability in the FTS5 full-text search extension that allows attackers to cause a crash or execute arbitrary code by supplying a crafted database with malicious continuation page metadata specifying a szLeaf value smaller than 4. Attackers can trigger an integer underflow in fts5ChunkIterate() causing an inflated remaining byte count during FTS5 MATCH query processing, leading to a heap buffer overflow of attacker-controlled data in applications compiled with SQLITE_ENABLE_FTS5.</t>
        </is>
      </c>
      <c r="F119" t="n">
        <v>7.8</v>
      </c>
      <c r="G119" s="3" t="inlineStr">
        <is>
          <t>HIGH</t>
        </is>
      </c>
      <c r="H119" s="2" t="inlineStr">
        <is>
          <t>&lt;3.53.2</t>
        </is>
      </c>
      <c r="I119" t="inlineStr">
        <is>
          <t>3.7.17</t>
        </is>
      </c>
      <c r="J119" t="inlineStr">
        <is>
          <t>3.53.2</t>
        </is>
      </c>
      <c r="K119" s="2" t="inlineStr">
        <is>
          <t>동일 브랜치 최종 버전, 미해결: CVE-2015-3414, CVE-2015-3415, CVE-2015-3416, CVE-2015-3717, CVE-2015-5895 외 24건; 브랜치 변경 시: 3.53.2; 버전 목록 출처: NVD CPE</t>
        </is>
      </c>
      <c r="L119" t="inlineStr">
        <is>
          <t>NVD</t>
        </is>
      </c>
      <c r="M119" t="inlineStr">
        <is>
          <t>2026-10-10T15:04:38+09:00</t>
        </is>
      </c>
    </row>
    <row r="120">
      <c r="A120" t="inlineStr">
        <is>
          <t>175</t>
        </is>
      </c>
      <c r="B120" t="inlineStr">
        <is>
          <t>SQLite</t>
        </is>
      </c>
      <c r="C120" t="inlineStr">
        <is>
          <t>3.7.9</t>
        </is>
      </c>
      <c r="D120" t="inlineStr">
        <is>
          <t>CVE-2025-6965</t>
        </is>
      </c>
      <c r="E120" s="2" t="inlineStr">
        <is>
          <t>There exists a vulnerability in SQLite versions before 3.50.2 where the number of aggregate terms could exceed the number of columns available. This could lead to a memory corruption issue. We recommend upgrading to version 3.50.2 or above.</t>
        </is>
      </c>
      <c r="F120" t="n">
        <v>7.7</v>
      </c>
      <c r="G120" s="3" t="inlineStr">
        <is>
          <t>HIGH</t>
        </is>
      </c>
      <c r="H120" s="2" t="inlineStr">
        <is>
          <t>&lt;3.50.2</t>
        </is>
      </c>
      <c r="I120" t="inlineStr">
        <is>
          <t>3.7.17</t>
        </is>
      </c>
      <c r="J120" t="inlineStr">
        <is>
          <t>3.53.2</t>
        </is>
      </c>
      <c r="K120" s="2" t="inlineStr">
        <is>
          <t>동일 브랜치 최종 버전, 미해결: CVE-2015-3414, CVE-2015-3415, CVE-2015-3416, CVE-2015-3717, CVE-2015-5895 외 24건; 브랜치 변경 시: 3.53.2; 버전 목록 출처: NVD CPE</t>
        </is>
      </c>
      <c r="L120" t="inlineStr">
        <is>
          <t>NVD</t>
        </is>
      </c>
      <c r="M120" t="inlineStr">
        <is>
          <t>2026-10-10T15:04:38+09:00</t>
        </is>
      </c>
    </row>
    <row r="121">
      <c r="A121" t="inlineStr">
        <is>
          <t>175</t>
        </is>
      </c>
      <c r="B121" t="inlineStr">
        <is>
          <t>SQLite</t>
        </is>
      </c>
      <c r="C121" t="inlineStr">
        <is>
          <t>3.7.9</t>
        </is>
      </c>
      <c r="D121" t="inlineStr">
        <is>
          <t>CVE-2015-3414</t>
        </is>
      </c>
      <c r="E121" s="2" t="inlineStr">
        <is>
          <t>SQLite before 3.8.9 does not properly implement the dequoting of collation-sequence names, which allows context-dependent attackers to cause a denial of service (uninitialized memory access and application crash) or possibly have unspecified other impact via a crafted COLLATE clause, as demonstrated by COLLATE"""""""" at the end of a SELECT statement.</t>
        </is>
      </c>
      <c r="F121" t="n">
        <v>7.5</v>
      </c>
      <c r="G121" s="3" t="inlineStr">
        <is>
          <t>HIGH</t>
        </is>
      </c>
      <c r="H121" s="2" t="inlineStr">
        <is>
          <t>&lt;=3.8.8.3</t>
        </is>
      </c>
      <c r="I121" t="inlineStr">
        <is>
          <t>3.7.17</t>
        </is>
      </c>
      <c r="J121" t="inlineStr">
        <is>
          <t>3.53.2</t>
        </is>
      </c>
      <c r="K121" s="2" t="inlineStr">
        <is>
          <t>동일 브랜치 최종 버전, 미해결: CVE-2015-3414, CVE-2015-3415, CVE-2015-3416, CVE-2015-3717, CVE-2015-5895 외 24건; 브랜치 변경 시: 3.53.2; 버전 목록 출처: NVD CPE</t>
        </is>
      </c>
      <c r="L121" t="inlineStr">
        <is>
          <t>NVD</t>
        </is>
      </c>
      <c r="M121" t="inlineStr">
        <is>
          <t>2026-10-10T15:04:38+09:00</t>
        </is>
      </c>
    </row>
    <row r="122">
      <c r="A122" t="inlineStr">
        <is>
          <t>175</t>
        </is>
      </c>
      <c r="B122" t="inlineStr">
        <is>
          <t>SQLite</t>
        </is>
      </c>
      <c r="C122" t="inlineStr">
        <is>
          <t>3.7.9</t>
        </is>
      </c>
      <c r="D122" t="inlineStr">
        <is>
          <t>CVE-2015-3415</t>
        </is>
      </c>
      <c r="E122" s="2" t="inlineStr">
        <is>
          <t>The sqlite3VdbeExec function in vdbe.c in SQLite before 3.8.9 does not properly implement comparison operators, which allows context-dependent attackers to cause a denial of service (invalid free operation) or possibly have unspecified other impact via a crafted CHECK clause, as demonstrated by CHECK(0&amp;O&gt;O) in a CREATE TABLE statement.</t>
        </is>
      </c>
      <c r="F122" t="n">
        <v>7.5</v>
      </c>
      <c r="G122" s="3" t="inlineStr">
        <is>
          <t>HIGH</t>
        </is>
      </c>
      <c r="H122" s="2" t="inlineStr">
        <is>
          <t>&lt;=3.8.8.3</t>
        </is>
      </c>
      <c r="I122" t="inlineStr">
        <is>
          <t>3.7.17</t>
        </is>
      </c>
      <c r="J122" t="inlineStr">
        <is>
          <t>3.53.2</t>
        </is>
      </c>
      <c r="K122" s="2" t="inlineStr">
        <is>
          <t>동일 브랜치 최종 버전, 미해결: CVE-2015-3414, CVE-2015-3415, CVE-2015-3416, CVE-2015-3717, CVE-2015-5895 외 24건; 브랜치 변경 시: 3.53.2; 버전 목록 출처: NVD CPE</t>
        </is>
      </c>
      <c r="L122" t="inlineStr">
        <is>
          <t>NVD</t>
        </is>
      </c>
      <c r="M122" t="inlineStr">
        <is>
          <t>2026-10-10T15:04:38+09:00</t>
        </is>
      </c>
    </row>
    <row r="123">
      <c r="A123" t="inlineStr">
        <is>
          <t>175</t>
        </is>
      </c>
      <c r="B123" t="inlineStr">
        <is>
          <t>SQLite</t>
        </is>
      </c>
      <c r="C123" t="inlineStr">
        <is>
          <t>3.7.9</t>
        </is>
      </c>
      <c r="D123" t="inlineStr">
        <is>
          <t>CVE-2015-3416</t>
        </is>
      </c>
      <c r="E123" s="2" t="inlineStr">
        <is>
          <t>The sqlite3VXPrintf function in printf.c in SQLite before 3.8.9 does not properly handle precision and width values during floating-point conversions, which allows context-dependent attackers to cause a denial of service (integer overflow and stack-based buffer overflow) or possibly have unspecified other impact via large integers in a crafted printf function call in a SELECT statement.</t>
        </is>
      </c>
      <c r="F123" t="n">
        <v>7.5</v>
      </c>
      <c r="G123" s="3" t="inlineStr">
        <is>
          <t>HIGH</t>
        </is>
      </c>
      <c r="H123" s="2" t="inlineStr">
        <is>
          <t>&lt;=3.8.8.3</t>
        </is>
      </c>
      <c r="I123" t="inlineStr">
        <is>
          <t>3.7.17</t>
        </is>
      </c>
      <c r="J123" t="inlineStr">
        <is>
          <t>3.53.2</t>
        </is>
      </c>
      <c r="K123" s="2" t="inlineStr">
        <is>
          <t>동일 브랜치 최종 버전, 미해결: CVE-2015-3414, CVE-2015-3415, CVE-2015-3416, CVE-2015-3717, CVE-2015-5895 외 24건; 브랜치 변경 시: 3.53.2; 버전 목록 출처: NVD CPE</t>
        </is>
      </c>
      <c r="L123" t="inlineStr">
        <is>
          <t>NVD</t>
        </is>
      </c>
      <c r="M123" t="inlineStr">
        <is>
          <t>2026-10-10T15:04:38+09:00</t>
        </is>
      </c>
    </row>
    <row r="124">
      <c r="A124" t="inlineStr">
        <is>
          <t>175</t>
        </is>
      </c>
      <c r="B124" t="inlineStr">
        <is>
          <t>SQLite</t>
        </is>
      </c>
      <c r="C124" t="inlineStr">
        <is>
          <t>3.7.9</t>
        </is>
      </c>
      <c r="D124" t="inlineStr">
        <is>
          <t>CVE-2015-3717</t>
        </is>
      </c>
      <c r="E124" s="2" t="inlineStr">
        <is>
          <t>Multiple buffer overflows in the printf functionality in SQLite, as used in Apple iOS before 8.4 and OS X before 10.10.4, allow remote attackers to execute arbitrary code or cause a denial of service (application crash) via unspecified vectors.</t>
        </is>
      </c>
      <c r="F124" t="n">
        <v>7.5</v>
      </c>
      <c r="G124" s="3" t="inlineStr">
        <is>
          <t>HIGH</t>
        </is>
      </c>
      <c r="H124" s="2" t="inlineStr">
        <is>
          <t>&lt;3.8.9</t>
        </is>
      </c>
      <c r="I124" t="inlineStr">
        <is>
          <t>3.7.17</t>
        </is>
      </c>
      <c r="J124" t="inlineStr">
        <is>
          <t>3.53.2</t>
        </is>
      </c>
      <c r="K124" s="2" t="inlineStr">
        <is>
          <t>동일 브랜치 최종 버전, 미해결: CVE-2015-3414, CVE-2015-3415, CVE-2015-3416, CVE-2015-3717, CVE-2015-5895 외 24건; 브랜치 변경 시: 3.53.2; 버전 목록 출처: NVD CPE</t>
        </is>
      </c>
      <c r="L124" t="inlineStr">
        <is>
          <t>NVD</t>
        </is>
      </c>
      <c r="M124" t="inlineStr">
        <is>
          <t>2026-10-10T15:04:38+09:00</t>
        </is>
      </c>
    </row>
    <row r="125">
      <c r="A125" t="inlineStr">
        <is>
          <t>175</t>
        </is>
      </c>
      <c r="B125" t="inlineStr">
        <is>
          <t>SQLite</t>
        </is>
      </c>
      <c r="C125" t="inlineStr">
        <is>
          <t>3.7.9</t>
        </is>
      </c>
      <c r="D125" t="inlineStr">
        <is>
          <t>CVE-2018-20505</t>
        </is>
      </c>
      <c r="E125" s="2" t="inlineStr">
        <is>
          <t>SQLite 3.25.2, when queries are run on a table with a malformed PRIMARY KEY, allows remote attackers to cause a denial of service (application crash) by leveraging the ability to run arbitrary SQL statements (such as in certain WebSQL use cases).</t>
        </is>
      </c>
      <c r="F125" t="n">
        <v>7.5</v>
      </c>
      <c r="G125" s="3" t="inlineStr">
        <is>
          <t>HIGH</t>
        </is>
      </c>
      <c r="H125" s="2" t="inlineStr">
        <is>
          <t>&lt;=3.25.2</t>
        </is>
      </c>
      <c r="I125" t="inlineStr">
        <is>
          <t>3.7.17</t>
        </is>
      </c>
      <c r="J125" t="inlineStr">
        <is>
          <t>3.53.2</t>
        </is>
      </c>
      <c r="K125" s="2" t="inlineStr">
        <is>
          <t>동일 브랜치 최종 버전, 미해결: CVE-2015-3414, CVE-2015-3415, CVE-2015-3416, CVE-2015-3717, CVE-2015-5895 외 24건; 브랜치 변경 시: 3.53.2; 버전 목록 출처: NVD CPE</t>
        </is>
      </c>
      <c r="L125" t="inlineStr">
        <is>
          <t>NVD</t>
        </is>
      </c>
      <c r="M125" t="inlineStr">
        <is>
          <t>2026-10-10T15:04:38+09:00</t>
        </is>
      </c>
    </row>
    <row r="126">
      <c r="A126" t="inlineStr">
        <is>
          <t>175</t>
        </is>
      </c>
      <c r="B126" t="inlineStr">
        <is>
          <t>SQLite</t>
        </is>
      </c>
      <c r="C126" t="inlineStr">
        <is>
          <t>3.7.9</t>
        </is>
      </c>
      <c r="D126" t="inlineStr">
        <is>
          <t>CVE-2018-8740</t>
        </is>
      </c>
      <c r="E126" s="2" t="inlineStr">
        <is>
          <t>In SQLite through 3.22.0, databases whose schema is corrupted using a CREATE TABLE AS statement could cause a NULL pointer dereference, related to build.c and prepare.c.</t>
        </is>
      </c>
      <c r="F126" t="n">
        <v>7.5</v>
      </c>
      <c r="G126" s="3" t="inlineStr">
        <is>
          <t>HIGH</t>
        </is>
      </c>
      <c r="H126" s="2" t="inlineStr">
        <is>
          <t>&lt;=3.22.0</t>
        </is>
      </c>
      <c r="I126" t="inlineStr">
        <is>
          <t>3.7.17</t>
        </is>
      </c>
      <c r="J126" t="inlineStr">
        <is>
          <t>3.53.2</t>
        </is>
      </c>
      <c r="K126" s="2" t="inlineStr">
        <is>
          <t>동일 브랜치 최종 버전, 미해결: CVE-2015-3414, CVE-2015-3415, CVE-2015-3416, CVE-2015-3717, CVE-2015-5895 외 24건; 브랜치 변경 시: 3.53.2; 버전 목록 출처: NVD CPE</t>
        </is>
      </c>
      <c r="L126" t="inlineStr">
        <is>
          <t>NVD</t>
        </is>
      </c>
      <c r="M126" t="inlineStr">
        <is>
          <t>2026-10-10T15:04:38+09:00</t>
        </is>
      </c>
    </row>
    <row r="127">
      <c r="A127" t="inlineStr">
        <is>
          <t>175</t>
        </is>
      </c>
      <c r="B127" t="inlineStr">
        <is>
          <t>SQLite</t>
        </is>
      </c>
      <c r="C127" t="inlineStr">
        <is>
          <t>3.7.9</t>
        </is>
      </c>
      <c r="D127" t="inlineStr">
        <is>
          <t>CVE-2020-11655</t>
        </is>
      </c>
      <c r="E127" s="2" t="inlineStr">
        <is>
          <t>SQLite through 3.31.1 allows attackers to cause a denial of service (segmentation fault) via a malformed window-function query because the AggInfo object's initialization is mishandled.</t>
        </is>
      </c>
      <c r="F127" t="n">
        <v>7.5</v>
      </c>
      <c r="G127" s="3" t="inlineStr">
        <is>
          <t>HIGH</t>
        </is>
      </c>
      <c r="H127" s="2" t="inlineStr">
        <is>
          <t>&lt;=3.31.1</t>
        </is>
      </c>
      <c r="I127" t="inlineStr">
        <is>
          <t>3.7.17</t>
        </is>
      </c>
      <c r="J127" t="inlineStr">
        <is>
          <t>3.53.2</t>
        </is>
      </c>
      <c r="K127" s="2" t="inlineStr">
        <is>
          <t>동일 브랜치 최종 버전, 미해결: CVE-2015-3414, CVE-2015-3415, CVE-2015-3416, CVE-2015-3717, CVE-2015-5895 외 24건; 브랜치 변경 시: 3.53.2; 버전 목록 출처: NVD CPE</t>
        </is>
      </c>
      <c r="L127" t="inlineStr">
        <is>
          <t>NVD</t>
        </is>
      </c>
      <c r="M127" t="inlineStr">
        <is>
          <t>2026-10-10T15:04:38+09:00</t>
        </is>
      </c>
    </row>
    <row r="128">
      <c r="A128" t="inlineStr">
        <is>
          <t>175</t>
        </is>
      </c>
      <c r="B128" t="inlineStr">
        <is>
          <t>SQLite</t>
        </is>
      </c>
      <c r="C128" t="inlineStr">
        <is>
          <t>3.7.9</t>
        </is>
      </c>
      <c r="D128" t="inlineStr">
        <is>
          <t>CVE-2022-35737</t>
        </is>
      </c>
      <c r="E128" s="2" t="inlineStr">
        <is>
          <t>SQLite 1.0.12 through 3.39.x before 3.39.2 sometimes allows an array-bounds overflow if billions of bytes are used in a string argument to a C API.</t>
        </is>
      </c>
      <c r="F128" t="n">
        <v>7.5</v>
      </c>
      <c r="G128" s="3" t="inlineStr">
        <is>
          <t>HIGH</t>
        </is>
      </c>
      <c r="H128" s="2" t="inlineStr">
        <is>
          <t>&gt;=1.0.12, &lt;3.39.2</t>
        </is>
      </c>
      <c r="I128" t="inlineStr">
        <is>
          <t>3.7.17</t>
        </is>
      </c>
      <c r="J128" t="inlineStr">
        <is>
          <t>3.53.2</t>
        </is>
      </c>
      <c r="K128" s="2" t="inlineStr">
        <is>
          <t>동일 브랜치 최종 버전, 미해결: CVE-2015-3414, CVE-2015-3415, CVE-2015-3416, CVE-2015-3717, CVE-2015-5895 외 24건; 브랜치 변경 시: 3.53.2; 버전 목록 출처: NVD CPE</t>
        </is>
      </c>
      <c r="L128" t="inlineStr">
        <is>
          <t>NVD</t>
        </is>
      </c>
      <c r="M128" t="inlineStr">
        <is>
          <t>2026-10-10T15:04:38+09:00</t>
        </is>
      </c>
    </row>
    <row r="129">
      <c r="A129" t="inlineStr">
        <is>
          <t>175</t>
        </is>
      </c>
      <c r="B129" t="inlineStr">
        <is>
          <t>SQLite</t>
        </is>
      </c>
      <c r="C129" t="inlineStr">
        <is>
          <t>3.7.9</t>
        </is>
      </c>
      <c r="D129" t="inlineStr">
        <is>
          <t>CVE-2025-70873</t>
        </is>
      </c>
      <c r="E129" s="2" t="inlineStr">
        <is>
          <t>An information disclosure issue in the zipfileInflate function in the zipfile extension in SQLite v3.51.1 and earlier allows attackers to obtain heap memory via supplying a crafted ZIP file.</t>
        </is>
      </c>
      <c r="F129" t="n">
        <v>7.5</v>
      </c>
      <c r="G129" s="3" t="inlineStr">
        <is>
          <t>HIGH</t>
        </is>
      </c>
      <c r="H129" s="2" t="inlineStr">
        <is>
          <t>&lt;3.51.1</t>
        </is>
      </c>
      <c r="I129" t="inlineStr">
        <is>
          <t>3.7.17</t>
        </is>
      </c>
      <c r="J129" t="inlineStr">
        <is>
          <t>3.53.2</t>
        </is>
      </c>
      <c r="K129" s="2" t="inlineStr">
        <is>
          <t>동일 브랜치 최종 버전, 미해결: CVE-2015-3414, CVE-2015-3415, CVE-2015-3416, CVE-2015-3717, CVE-2015-5895 외 24건; 브랜치 변경 시: 3.53.2; 버전 목록 출처: NVD CPE</t>
        </is>
      </c>
      <c r="L129" t="inlineStr">
        <is>
          <t>NVD</t>
        </is>
      </c>
      <c r="M129" t="inlineStr">
        <is>
          <t>2026-10-10T15:04:38+09:00</t>
        </is>
      </c>
    </row>
    <row r="130">
      <c r="A130" t="inlineStr">
        <is>
          <t>175</t>
        </is>
      </c>
      <c r="B130" t="inlineStr">
        <is>
          <t>SQLite</t>
        </is>
      </c>
      <c r="C130" t="inlineStr">
        <is>
          <t>3.7.9</t>
        </is>
      </c>
      <c r="D130" t="inlineStr">
        <is>
          <t>CVE-2023-7104</t>
        </is>
      </c>
      <c r="E130" s="2" t="inlineStr">
        <is>
          <t>A vulnerability was found in SQLite SQLite3 up to 3.43.0 and classified as critical. This issue affects the function sessionReadRecord of the file ext/session/sqlite3session.c of the component make alltest Handler. The manipulation leads to heap-based buffer overflow. It is recommended to apply a patch to fix this issue. The associated identifier of this vulnerability is VDB-248999.</t>
        </is>
      </c>
      <c r="F130" t="n">
        <v>7.3</v>
      </c>
      <c r="G130" s="3" t="inlineStr">
        <is>
          <t>HIGH</t>
        </is>
      </c>
      <c r="H130" s="2" t="inlineStr">
        <is>
          <t>&lt;=3.43.0</t>
        </is>
      </c>
      <c r="I130" t="inlineStr">
        <is>
          <t>3.7.17</t>
        </is>
      </c>
      <c r="J130" t="inlineStr">
        <is>
          <t>3.53.2</t>
        </is>
      </c>
      <c r="K130" s="2" t="inlineStr">
        <is>
          <t>동일 브랜치 최종 버전, 미해결: CVE-2015-3414, CVE-2015-3415, CVE-2015-3416, CVE-2015-3717, CVE-2015-5895 외 24건; 브랜치 변경 시: 3.53.2; 버전 목록 출처: NVD CPE</t>
        </is>
      </c>
      <c r="L130" t="inlineStr">
        <is>
          <t>NVD</t>
        </is>
      </c>
      <c r="M130" t="inlineStr">
        <is>
          <t>2026-10-10T15:04:38+09:00</t>
        </is>
      </c>
    </row>
    <row r="131">
      <c r="A131" t="inlineStr">
        <is>
          <t>175</t>
        </is>
      </c>
      <c r="B131" t="inlineStr">
        <is>
          <t>SQLite</t>
        </is>
      </c>
      <c r="C131" t="inlineStr">
        <is>
          <t>3.7.9</t>
        </is>
      </c>
      <c r="D131" t="inlineStr">
        <is>
          <t>CVE-2020-13630</t>
        </is>
      </c>
      <c r="E131" s="2" t="inlineStr">
        <is>
          <t>ext/fts3/fts3.c in SQLite before 3.32.0 has a use-after-free in fts3EvalNextRow, related to the snippet feature.</t>
        </is>
      </c>
      <c r="F131" t="n">
        <v>7</v>
      </c>
      <c r="G131" s="3" t="inlineStr">
        <is>
          <t>HIGH</t>
        </is>
      </c>
      <c r="H131" s="2" t="inlineStr">
        <is>
          <t>&lt;3.32.0</t>
        </is>
      </c>
      <c r="I131" t="inlineStr">
        <is>
          <t>3.7.17</t>
        </is>
      </c>
      <c r="J131" t="inlineStr">
        <is>
          <t>3.53.2</t>
        </is>
      </c>
      <c r="K131" s="2" t="inlineStr">
        <is>
          <t>동일 브랜치 최종 버전, 미해결: CVE-2015-3414, CVE-2015-3415, CVE-2015-3416, CVE-2015-3717, CVE-2015-5895 외 24건; 브랜치 변경 시: 3.53.2; 버전 목록 출처: NVD CPE</t>
        </is>
      </c>
      <c r="L131" t="inlineStr">
        <is>
          <t>NVD</t>
        </is>
      </c>
      <c r="M131" t="inlineStr">
        <is>
          <t>2026-10-10T15:04:38+09:00</t>
        </is>
      </c>
    </row>
    <row r="132">
      <c r="A132" t="inlineStr">
        <is>
          <t>175</t>
        </is>
      </c>
      <c r="B132" t="inlineStr">
        <is>
          <t>SQLite</t>
        </is>
      </c>
      <c r="C132" t="inlineStr">
        <is>
          <t>3.7.9</t>
        </is>
      </c>
      <c r="D132" t="inlineStr">
        <is>
          <t>CVE-2015-6607</t>
        </is>
      </c>
      <c r="E132" s="2" t="inlineStr">
        <is>
          <t>SQLite before 3.8.9, as used in Android before 5.1.1 LMY48T, allows attackers to gain privileges via a crafted application, aka internal bug 20099586.</t>
        </is>
      </c>
      <c r="F132" t="n">
        <v>6.8</v>
      </c>
      <c r="G132" s="4" t="inlineStr">
        <is>
          <t>MEDIUM</t>
        </is>
      </c>
      <c r="H132" s="2" t="inlineStr">
        <is>
          <t>&lt;=3.8.8.3</t>
        </is>
      </c>
      <c r="I132" t="inlineStr">
        <is>
          <t>3.7.17</t>
        </is>
      </c>
      <c r="J132" t="inlineStr">
        <is>
          <t>3.53.2</t>
        </is>
      </c>
      <c r="K132" s="2" t="inlineStr">
        <is>
          <t>동일 브랜치 최종 버전, 미해결: CVE-2015-3414, CVE-2015-3415, CVE-2015-3416, CVE-2015-3717, CVE-2015-5895 외 24건; 브랜치 변경 시: 3.53.2; 버전 목록 출처: NVD CPE</t>
        </is>
      </c>
      <c r="L132" t="inlineStr">
        <is>
          <t>NVD</t>
        </is>
      </c>
      <c r="M132" t="inlineStr">
        <is>
          <t>2026-10-10T15:04:38+09:00</t>
        </is>
      </c>
    </row>
    <row r="133">
      <c r="A133" t="inlineStr">
        <is>
          <t>175</t>
        </is>
      </c>
      <c r="B133" t="inlineStr">
        <is>
          <t>SQLite</t>
        </is>
      </c>
      <c r="C133" t="inlineStr">
        <is>
          <t>3.7.9</t>
        </is>
      </c>
      <c r="D133" t="inlineStr">
        <is>
          <t>CVE-2016-6153</t>
        </is>
      </c>
      <c r="E133" s="2" t="inlineStr">
        <is>
          <t>os_unix.c in SQLite before 3.13.0 improperly implements the temporary directory search algorithm, which might allow local users to obtain sensitive information, cause a denial of service (application crash), or have unspecified other impact by leveraging use of the current working directory for temporary files.</t>
        </is>
      </c>
      <c r="F133" t="n">
        <v>5.9</v>
      </c>
      <c r="G133" s="4" t="inlineStr">
        <is>
          <t>MEDIUM</t>
        </is>
      </c>
      <c r="H133" s="2" t="inlineStr">
        <is>
          <t>&lt;=3.12.2</t>
        </is>
      </c>
      <c r="I133" t="inlineStr">
        <is>
          <t>3.7.17</t>
        </is>
      </c>
      <c r="J133" t="inlineStr">
        <is>
          <t>3.53.2</t>
        </is>
      </c>
      <c r="K133" s="2" t="inlineStr">
        <is>
          <t>동일 브랜치 최종 버전, 미해결: CVE-2015-3414, CVE-2015-3415, CVE-2015-3416, CVE-2015-3717, CVE-2015-5895 외 24건; 브랜치 변경 시: 3.53.2; 버전 목록 출처: NVD CPE</t>
        </is>
      </c>
      <c r="L133" t="inlineStr">
        <is>
          <t>NVD</t>
        </is>
      </c>
      <c r="M133" t="inlineStr">
        <is>
          <t>2026-10-10T15:04:38+09:00</t>
        </is>
      </c>
    </row>
    <row r="134">
      <c r="A134" t="inlineStr">
        <is>
          <t>175</t>
        </is>
      </c>
      <c r="B134" t="inlineStr">
        <is>
          <t>SQLite</t>
        </is>
      </c>
      <c r="C134" t="inlineStr">
        <is>
          <t>3.7.9</t>
        </is>
      </c>
      <c r="D134" t="inlineStr">
        <is>
          <t>CVE-2019-19645</t>
        </is>
      </c>
      <c r="E134" s="2" t="inlineStr">
        <is>
          <t>alter.c in SQLite through 3.30.1 allows attackers to trigger infinite recursion via certain types of self-referential views in conjunction with ALTER TABLE statements.</t>
        </is>
      </c>
      <c r="F134" t="n">
        <v>5.5</v>
      </c>
      <c r="G134" s="4" t="inlineStr">
        <is>
          <t>MEDIUM</t>
        </is>
      </c>
      <c r="H134" s="2" t="inlineStr">
        <is>
          <t>&lt;=3.30.1</t>
        </is>
      </c>
      <c r="I134" t="inlineStr">
        <is>
          <t>3.7.17</t>
        </is>
      </c>
      <c r="J134" t="inlineStr">
        <is>
          <t>3.53.2</t>
        </is>
      </c>
      <c r="K134" s="2" t="inlineStr">
        <is>
          <t>동일 브랜치 최종 버전, 미해결: CVE-2015-3414, CVE-2015-3415, CVE-2015-3416, CVE-2015-3717, CVE-2015-5895 외 24건; 브랜치 변경 시: 3.53.2; 버전 목록 출처: NVD CPE</t>
        </is>
      </c>
      <c r="L134" t="inlineStr">
        <is>
          <t>NVD</t>
        </is>
      </c>
      <c r="M134" t="inlineStr">
        <is>
          <t>2026-10-10T15:04:38+09:00</t>
        </is>
      </c>
    </row>
    <row r="135">
      <c r="A135" t="inlineStr">
        <is>
          <t>175</t>
        </is>
      </c>
      <c r="B135" t="inlineStr">
        <is>
          <t>SQLite</t>
        </is>
      </c>
      <c r="C135" t="inlineStr">
        <is>
          <t>3.7.9</t>
        </is>
      </c>
      <c r="D135" t="inlineStr">
        <is>
          <t>CVE-2020-13434</t>
        </is>
      </c>
      <c r="E135" s="2" t="inlineStr">
        <is>
          <t>SQLite through 3.32.0 has an integer overflow in sqlite3_str_vappendf in printf.c.</t>
        </is>
      </c>
      <c r="F135" t="n">
        <v>5.5</v>
      </c>
      <c r="G135" s="4" t="inlineStr">
        <is>
          <t>MEDIUM</t>
        </is>
      </c>
      <c r="H135" s="2" t="inlineStr">
        <is>
          <t>&lt;=3.32.0</t>
        </is>
      </c>
      <c r="I135" t="inlineStr">
        <is>
          <t>3.7.17</t>
        </is>
      </c>
      <c r="J135" t="inlineStr">
        <is>
          <t>3.53.2</t>
        </is>
      </c>
      <c r="K135" s="2" t="inlineStr">
        <is>
          <t>동일 브랜치 최종 버전, 미해결: CVE-2015-3414, CVE-2015-3415, CVE-2015-3416, CVE-2015-3717, CVE-2015-5895 외 24건; 브랜치 변경 시: 3.53.2; 버전 목록 출처: NVD CPE</t>
        </is>
      </c>
      <c r="L135" t="inlineStr">
        <is>
          <t>NVD</t>
        </is>
      </c>
      <c r="M135" t="inlineStr">
        <is>
          <t>2026-10-10T15:04:38+09:00</t>
        </is>
      </c>
    </row>
    <row r="136">
      <c r="A136" t="inlineStr">
        <is>
          <t>175</t>
        </is>
      </c>
      <c r="B136" t="inlineStr">
        <is>
          <t>SQLite</t>
        </is>
      </c>
      <c r="C136" t="inlineStr">
        <is>
          <t>3.7.9</t>
        </is>
      </c>
      <c r="D136" t="inlineStr">
        <is>
          <t>CVE-2020-13435</t>
        </is>
      </c>
      <c r="E136" s="2" t="inlineStr">
        <is>
          <t>SQLite through 3.32.0 has a segmentation fault in sqlite3ExprCodeTarget in expr.c.</t>
        </is>
      </c>
      <c r="F136" t="n">
        <v>5.5</v>
      </c>
      <c r="G136" s="4" t="inlineStr">
        <is>
          <t>MEDIUM</t>
        </is>
      </c>
      <c r="H136" s="2" t="inlineStr">
        <is>
          <t>&lt;=3.32.0</t>
        </is>
      </c>
      <c r="I136" t="inlineStr">
        <is>
          <t>3.7.17</t>
        </is>
      </c>
      <c r="J136" t="inlineStr">
        <is>
          <t>3.53.2</t>
        </is>
      </c>
      <c r="K136" s="2" t="inlineStr">
        <is>
          <t>동일 브랜치 최종 버전, 미해결: CVE-2015-3414, CVE-2015-3415, CVE-2015-3416, CVE-2015-3717, CVE-2015-5895 외 24건; 브랜치 변경 시: 3.53.2; 버전 목록 출처: NVD CPE</t>
        </is>
      </c>
      <c r="L136" t="inlineStr">
        <is>
          <t>NVD</t>
        </is>
      </c>
      <c r="M136" t="inlineStr">
        <is>
          <t>2026-10-10T15:04:38+09:00</t>
        </is>
      </c>
    </row>
    <row r="137">
      <c r="A137" t="inlineStr">
        <is>
          <t>175</t>
        </is>
      </c>
      <c r="B137" t="inlineStr">
        <is>
          <t>SQLite</t>
        </is>
      </c>
      <c r="C137" t="inlineStr">
        <is>
          <t>3.7.9</t>
        </is>
      </c>
      <c r="D137" t="inlineStr">
        <is>
          <t>CVE-2020-13631</t>
        </is>
      </c>
      <c r="E137" s="2" t="inlineStr">
        <is>
          <t>SQLite before 3.32.0 allows a virtual table to be renamed to the name of one of its shadow tables, related to alter.c and build.c.</t>
        </is>
      </c>
      <c r="F137" t="n">
        <v>5.5</v>
      </c>
      <c r="G137" s="4" t="inlineStr">
        <is>
          <t>MEDIUM</t>
        </is>
      </c>
      <c r="H137" s="2" t="inlineStr">
        <is>
          <t>&lt;3.32.0</t>
        </is>
      </c>
      <c r="I137" t="inlineStr">
        <is>
          <t>3.7.17</t>
        </is>
      </c>
      <c r="J137" t="inlineStr">
        <is>
          <t>3.53.2</t>
        </is>
      </c>
      <c r="K137" s="2" t="inlineStr">
        <is>
          <t>동일 브랜치 최종 버전, 미해결: CVE-2015-3414, CVE-2015-3415, CVE-2015-3416, CVE-2015-3717, CVE-2015-5895 외 24건; 브랜치 변경 시: 3.53.2; 버전 목록 출처: NVD CPE</t>
        </is>
      </c>
      <c r="L137" t="inlineStr">
        <is>
          <t>NVD</t>
        </is>
      </c>
      <c r="M137" t="inlineStr">
        <is>
          <t>2026-10-10T15:04:38+09:00</t>
        </is>
      </c>
    </row>
    <row r="138">
      <c r="A138" t="inlineStr">
        <is>
          <t>175</t>
        </is>
      </c>
      <c r="B138" t="inlineStr">
        <is>
          <t>SQLite</t>
        </is>
      </c>
      <c r="C138" t="inlineStr">
        <is>
          <t>3.7.9</t>
        </is>
      </c>
      <c r="D138" t="inlineStr">
        <is>
          <t>CVE-2020-13632</t>
        </is>
      </c>
      <c r="E138" s="2" t="inlineStr">
        <is>
          <t>ext/fts3/fts3_snippet.c in SQLite before 3.32.0 has a NULL pointer dereference via a crafted matchinfo() query.</t>
        </is>
      </c>
      <c r="F138" t="n">
        <v>5.5</v>
      </c>
      <c r="G138" s="4" t="inlineStr">
        <is>
          <t>MEDIUM</t>
        </is>
      </c>
      <c r="H138" s="2" t="inlineStr">
        <is>
          <t>&lt;3.32.0</t>
        </is>
      </c>
      <c r="I138" t="inlineStr">
        <is>
          <t>3.7.17</t>
        </is>
      </c>
      <c r="J138" t="inlineStr">
        <is>
          <t>3.53.2</t>
        </is>
      </c>
      <c r="K138" s="2" t="inlineStr">
        <is>
          <t>동일 브랜치 최종 버전, 미해결: CVE-2015-3414, CVE-2015-3415, CVE-2015-3416, CVE-2015-3717, CVE-2015-5895 외 24건; 브랜치 변경 시: 3.53.2; 버전 목록 출처: NVD CPE</t>
        </is>
      </c>
      <c r="L138" t="inlineStr">
        <is>
          <t>NVD</t>
        </is>
      </c>
      <c r="M138" t="inlineStr">
        <is>
          <t>2026-10-10T15:04:38+09:00</t>
        </is>
      </c>
    </row>
    <row r="139">
      <c r="A139" t="inlineStr">
        <is>
          <t>175</t>
        </is>
      </c>
      <c r="B139" t="inlineStr">
        <is>
          <t>SQLite</t>
        </is>
      </c>
      <c r="C139" t="inlineStr">
        <is>
          <t>3.7.9</t>
        </is>
      </c>
      <c r="D139" t="inlineStr">
        <is>
          <t>CVE-2020-15358</t>
        </is>
      </c>
      <c r="E139" s="2" t="inlineStr">
        <is>
          <t>In SQLite before 3.32.3, select.c mishandles query-flattener optimization, leading to a multiSelectOrderBy heap overflow because of misuse of transitive properties for constant propagation.</t>
        </is>
      </c>
      <c r="F139" t="n">
        <v>5.5</v>
      </c>
      <c r="G139" s="4" t="inlineStr">
        <is>
          <t>MEDIUM</t>
        </is>
      </c>
      <c r="H139" s="2" t="inlineStr">
        <is>
          <t>&lt;3.32.3</t>
        </is>
      </c>
      <c r="I139" t="inlineStr">
        <is>
          <t>3.7.17</t>
        </is>
      </c>
      <c r="J139" t="inlineStr">
        <is>
          <t>3.53.2</t>
        </is>
      </c>
      <c r="K139" s="2" t="inlineStr">
        <is>
          <t>동일 브랜치 최종 버전, 미해결: CVE-2015-3414, CVE-2015-3415, CVE-2015-3416, CVE-2015-3717, CVE-2015-5895 외 24건; 브랜치 변경 시: 3.53.2; 버전 목록 출처: NVD CPE</t>
        </is>
      </c>
      <c r="L139" t="inlineStr">
        <is>
          <t>NVD</t>
        </is>
      </c>
      <c r="M139" t="inlineStr">
        <is>
          <t>2026-10-10T15:04:38+09:00</t>
        </is>
      </c>
    </row>
    <row r="140">
      <c r="A140" t="inlineStr">
        <is>
          <t>237</t>
        </is>
      </c>
      <c r="B140" t="inlineStr">
        <is>
          <t>zip4j</t>
        </is>
      </c>
      <c r="C140" t="inlineStr">
        <is>
          <t>1.3.1</t>
        </is>
      </c>
      <c r="D140" t="inlineStr">
        <is>
          <t>CVE-2018-1002202</t>
        </is>
      </c>
      <c r="E140" s="2" t="inlineStr">
        <is>
          <t>zip4j before 1.3.3 is vulnerable to directory traversal, allowing attackers to write to arbitrary files via a ../ (dot dot slash) in a Zip archive entry that is mishandled during extraction. This vulnerability is also known as 'Zip-Slip'.</t>
        </is>
      </c>
      <c r="F140" t="n">
        <v>6.5</v>
      </c>
      <c r="G140" s="4" t="inlineStr">
        <is>
          <t>MEDIUM</t>
        </is>
      </c>
      <c r="H140" s="2">
        <f>1.3.1; &lt;1.3.3</f>
        <v/>
      </c>
      <c r="I140" t="inlineStr">
        <is>
          <t>1.3.3</t>
        </is>
      </c>
      <c r="J140" t="inlineStr">
        <is>
          <t>2.11.6</t>
        </is>
      </c>
      <c r="K140" s="2" t="inlineStr">
        <is>
          <t>동일 브랜치 최종 버전, 미해결: CVE-2022-24615, CVE-2023-22899; 브랜치 변경 시: 2.11.3</t>
        </is>
      </c>
      <c r="L140" t="inlineStr">
        <is>
          <t>OSV</t>
        </is>
      </c>
      <c r="M140" t="inlineStr">
        <is>
          <t>2026-10-10T15:04:38+09:00</t>
        </is>
      </c>
    </row>
    <row r="141">
      <c r="A141" t="inlineStr">
        <is>
          <t>237</t>
        </is>
      </c>
      <c r="B141" t="inlineStr">
        <is>
          <t>zip4j</t>
        </is>
      </c>
      <c r="C141" t="inlineStr">
        <is>
          <t>1.3.1</t>
        </is>
      </c>
      <c r="D141" t="inlineStr">
        <is>
          <t>CVE-2023-22899</t>
        </is>
      </c>
      <c r="E141" s="2" t="inlineStr">
        <is>
          <t>Zip4j through 2.11.2, as used in Threema and other products, does not always check the MAC when decrypting a ZIP archive. This issue has been fixed in version 2.11.3.</t>
        </is>
      </c>
      <c r="F141" t="n">
        <v>5.9</v>
      </c>
      <c r="G141" s="4" t="inlineStr">
        <is>
          <t>MEDIUM</t>
        </is>
      </c>
      <c r="H141" s="2">
        <f>1.3.1; &lt;2.11.3</f>
        <v/>
      </c>
      <c r="I141" t="inlineStr">
        <is>
          <t>1.3.3</t>
        </is>
      </c>
      <c r="J141" t="inlineStr">
        <is>
          <t>2.11.6</t>
        </is>
      </c>
      <c r="K141" s="2" t="inlineStr">
        <is>
          <t>동일 브랜치 최종 버전, 미해결: CVE-2022-24615, CVE-2023-22899; 브랜치 변경 시: 2.11.3</t>
        </is>
      </c>
      <c r="L141" t="inlineStr">
        <is>
          <t>OSV</t>
        </is>
      </c>
      <c r="M141" t="inlineStr">
        <is>
          <t>2026-10-10T15:04:38+09:00</t>
        </is>
      </c>
    </row>
    <row r="142">
      <c r="A142" t="inlineStr">
        <is>
          <t>237</t>
        </is>
      </c>
      <c r="B142" t="inlineStr">
        <is>
          <t>zip4j</t>
        </is>
      </c>
      <c r="C142" t="inlineStr">
        <is>
          <t>1.3.1</t>
        </is>
      </c>
      <c r="D142" t="inlineStr">
        <is>
          <t>CVE-2022-24615</t>
        </is>
      </c>
      <c r="E142" s="2" t="inlineStr">
        <is>
          <t>zip4j up to 2.9.1 can throw various uncaught exceptions while parsing a specially crafted ZIP file, which could result in an application crash. This could be used to mount a denial of service attack against services that use zip4j library.</t>
        </is>
      </c>
      <c r="F142" t="n">
        <v>5.5</v>
      </c>
      <c r="G142" s="4" t="inlineStr">
        <is>
          <t>MEDIUM</t>
        </is>
      </c>
      <c r="H142" s="2">
        <f>1.3.1; &lt;2.10.0</f>
        <v/>
      </c>
      <c r="I142" t="inlineStr">
        <is>
          <t>1.3.3</t>
        </is>
      </c>
      <c r="J142" t="inlineStr">
        <is>
          <t>2.11.6</t>
        </is>
      </c>
      <c r="K142" s="2" t="inlineStr">
        <is>
          <t>동일 브랜치 최종 버전, 미해결: CVE-2022-24615, CVE-2023-22899; 브랜치 변경 시: 2.11.3</t>
        </is>
      </c>
      <c r="L142" t="inlineStr">
        <is>
          <t>OSV</t>
        </is>
      </c>
      <c r="M142" t="inlineStr">
        <is>
          <t>2026-10-10T15:04:38+09:00</t>
        </is>
      </c>
    </row>
    <row r="143">
      <c r="A143" t="inlineStr">
        <is>
          <t>244</t>
        </is>
      </c>
      <c r="B143" t="inlineStr">
        <is>
          <t>zlib</t>
        </is>
      </c>
      <c r="C143" t="inlineStr">
        <is>
          <t>1.1.3</t>
        </is>
      </c>
      <c r="D143" t="inlineStr">
        <is>
          <t>CVE-2002-0059</t>
        </is>
      </c>
      <c r="E143" s="2" t="inlineStr">
        <is>
          <t>The decompression algorithm in zlib 1.1.3 and earlier, as used in many different utilities and packages, causes inflateEnd to release certain memory more than once (a "double free"), which may allow local and remote attackers to execute arbitrary code via a block of malformed compression data.</t>
        </is>
      </c>
      <c r="F143" t="n">
        <v>9.800000000000001</v>
      </c>
      <c r="G143" s="5" t="inlineStr">
        <is>
          <t>CRITICAL</t>
        </is>
      </c>
      <c r="H143" s="2" t="inlineStr">
        <is>
          <t>&lt;=1.1.3</t>
        </is>
      </c>
      <c r="I143" t="inlineStr">
        <is>
          <t>1.1.4</t>
        </is>
      </c>
      <c r="J143" t="inlineStr">
        <is>
          <t>1.3.1.2</t>
        </is>
      </c>
      <c r="K143" s="2" t="inlineStr">
        <is>
          <t>동일 브랜치 최종 버전, 미해결: CVE-2022-37434, CVE-2023-45853; 최신 버전에도 미해결: CVE-2026-27171; 버전 목록 출처: NVD CPE</t>
        </is>
      </c>
      <c r="L143" t="inlineStr">
        <is>
          <t>NVD</t>
        </is>
      </c>
      <c r="M143" t="inlineStr">
        <is>
          <t>2026-10-10T15:04:38+09:00</t>
        </is>
      </c>
    </row>
    <row r="144">
      <c r="A144" t="inlineStr">
        <is>
          <t>244</t>
        </is>
      </c>
      <c r="B144" t="inlineStr">
        <is>
          <t>zlib</t>
        </is>
      </c>
      <c r="C144" t="inlineStr">
        <is>
          <t>1.1.3</t>
        </is>
      </c>
      <c r="D144" t="inlineStr">
        <is>
          <t>CVE-2022-37434</t>
        </is>
      </c>
      <c r="E144" s="2" t="inlineStr">
        <is>
          <t>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t>
        </is>
      </c>
      <c r="F144" t="n">
        <v>9.800000000000001</v>
      </c>
      <c r="G144" s="5" t="inlineStr">
        <is>
          <t>CRITICAL</t>
        </is>
      </c>
      <c r="H144" s="2" t="inlineStr">
        <is>
          <t>&lt;=1.2.12</t>
        </is>
      </c>
      <c r="I144" t="inlineStr">
        <is>
          <t>1.1.4</t>
        </is>
      </c>
      <c r="J144" t="inlineStr">
        <is>
          <t>1.3.1.2</t>
        </is>
      </c>
      <c r="K144" s="2" t="inlineStr">
        <is>
          <t>동일 브랜치 최종 버전, 미해결: CVE-2022-37434, CVE-2023-45853; 최신 버전에도 미해결: CVE-2026-27171; 버전 목록 출처: NVD CPE</t>
        </is>
      </c>
      <c r="L144" t="inlineStr">
        <is>
          <t>NVD</t>
        </is>
      </c>
      <c r="M144" t="inlineStr">
        <is>
          <t>2026-10-10T15:04:38+09:00</t>
        </is>
      </c>
    </row>
    <row r="145">
      <c r="A145" t="inlineStr">
        <is>
          <t>244</t>
        </is>
      </c>
      <c r="B145" t="inlineStr">
        <is>
          <t>zlib</t>
        </is>
      </c>
      <c r="C145" t="inlineStr">
        <is>
          <t>1.1.3</t>
        </is>
      </c>
      <c r="D145" t="inlineStr">
        <is>
          <t>CVE-2023-45853</t>
        </is>
      </c>
      <c r="E145" s="2" t="inlineStr">
        <is>
          <t>MiniZip in zlib through 1.3 has an integer overflow and resultant heap-based buffer overflow in zipOpenNewFileInZip4_64 via a long filename, comment, or extra field. NOTE: MiniZip is not a supported part of the zlib product. NOTE: pyminizip through 0.2.6 is also vulnerable because it bundles an affected zlib version, and exposes the applicable MiniZip code through its compress API.</t>
        </is>
      </c>
      <c r="F145" t="n">
        <v>9.800000000000001</v>
      </c>
      <c r="G145" s="5" t="inlineStr">
        <is>
          <t>CRITICAL</t>
        </is>
      </c>
      <c r="H145" s="2" t="inlineStr">
        <is>
          <t>&lt;1.3.1</t>
        </is>
      </c>
      <c r="I145" t="inlineStr">
        <is>
          <t>1.1.4</t>
        </is>
      </c>
      <c r="J145" t="inlineStr">
        <is>
          <t>1.3.1.2</t>
        </is>
      </c>
      <c r="K145" s="2" t="inlineStr">
        <is>
          <t>동일 브랜치 최종 버전, 미해결: CVE-2022-37434, CVE-2023-45853; 최신 버전에도 미해결: CVE-2026-27171; 버전 목록 출처: NVD CPE</t>
        </is>
      </c>
      <c r="L145" t="inlineStr">
        <is>
          <t>NVD</t>
        </is>
      </c>
      <c r="M145" t="inlineStr">
        <is>
          <t>2026-10-10T15:04:38+09:00</t>
        </is>
      </c>
    </row>
    <row r="146">
      <c r="A146" t="inlineStr">
        <is>
          <t>245</t>
        </is>
      </c>
      <c r="B146" t="inlineStr">
        <is>
          <t>zlib</t>
        </is>
      </c>
      <c r="C146" t="inlineStr">
        <is>
          <t>1.2.5</t>
        </is>
      </c>
      <c r="D146" t="inlineStr">
        <is>
          <t>CVE-2016-9841</t>
        </is>
      </c>
      <c r="E146" s="2" t="inlineStr">
        <is>
          <t>inffast.c in zlib 1.2.8 might allow context-dependent attackers to have unspecified impact by leveraging improper pointer arithmetic.</t>
        </is>
      </c>
      <c r="F146" t="n">
        <v>9.800000000000001</v>
      </c>
      <c r="G146" s="5" t="inlineStr">
        <is>
          <t>CRITICAL</t>
        </is>
      </c>
      <c r="H146" s="2" t="inlineStr">
        <is>
          <t>&gt;=1.2.0, &lt;1.2.9</t>
        </is>
      </c>
      <c r="I146" t="inlineStr">
        <is>
          <t>1.2.13</t>
        </is>
      </c>
      <c r="J146" t="inlineStr">
        <is>
          <t>1.3.1.2</t>
        </is>
      </c>
      <c r="K146" s="2" t="inlineStr">
        <is>
          <t>동일 브랜치 최종 버전, 미해결: CVE-2023-45853; 최신 버전에도 미해결: CVE-2026-27171; 버전 목록 출처: NVD CPE</t>
        </is>
      </c>
      <c r="L146" t="inlineStr">
        <is>
          <t>NVD</t>
        </is>
      </c>
      <c r="M146" t="inlineStr">
        <is>
          <t>2026-10-10T15:04:38+09:00</t>
        </is>
      </c>
    </row>
    <row r="147">
      <c r="A147" t="inlineStr">
        <is>
          <t>245</t>
        </is>
      </c>
      <c r="B147" t="inlineStr">
        <is>
          <t>zlib</t>
        </is>
      </c>
      <c r="C147" t="inlineStr">
        <is>
          <t>1.2.5</t>
        </is>
      </c>
      <c r="D147" t="inlineStr">
        <is>
          <t>CVE-2016-9843</t>
        </is>
      </c>
      <c r="E147" s="2" t="inlineStr">
        <is>
          <t>The crc32_big function in crc32.c in zlib 1.2.8 might allow context-dependent attackers to have unspecified impact via vectors involving big-endian CRC calculation.</t>
        </is>
      </c>
      <c r="F147" t="n">
        <v>9.800000000000001</v>
      </c>
      <c r="G147" s="5" t="inlineStr">
        <is>
          <t>CRITICAL</t>
        </is>
      </c>
      <c r="H147" s="2" t="inlineStr">
        <is>
          <t>&gt;=1.2.0, &lt;1.2.9</t>
        </is>
      </c>
      <c r="I147" t="inlineStr">
        <is>
          <t>1.2.13</t>
        </is>
      </c>
      <c r="J147" t="inlineStr">
        <is>
          <t>1.3.1.2</t>
        </is>
      </c>
      <c r="K147" s="2" t="inlineStr">
        <is>
          <t>동일 브랜치 최종 버전, 미해결: CVE-2023-45853; 최신 버전에도 미해결: CVE-2026-27171; 버전 목록 출처: NVD CPE</t>
        </is>
      </c>
      <c r="L147" t="inlineStr">
        <is>
          <t>NVD</t>
        </is>
      </c>
      <c r="M147" t="inlineStr">
        <is>
          <t>2026-10-10T15:04:38+09:00</t>
        </is>
      </c>
    </row>
    <row r="148">
      <c r="A148" t="inlineStr">
        <is>
          <t>245</t>
        </is>
      </c>
      <c r="B148" t="inlineStr">
        <is>
          <t>zlib</t>
        </is>
      </c>
      <c r="C148" t="inlineStr">
        <is>
          <t>1.2.5</t>
        </is>
      </c>
      <c r="D148" t="inlineStr">
        <is>
          <t>CVE-2022-37434</t>
        </is>
      </c>
      <c r="E148" s="2" t="inlineStr">
        <is>
          <t>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t>
        </is>
      </c>
      <c r="F148" t="n">
        <v>9.800000000000001</v>
      </c>
      <c r="G148" s="5" t="inlineStr">
        <is>
          <t>CRITICAL</t>
        </is>
      </c>
      <c r="H148" s="2" t="inlineStr">
        <is>
          <t>&lt;=1.2.12</t>
        </is>
      </c>
      <c r="I148" t="inlineStr">
        <is>
          <t>1.2.13</t>
        </is>
      </c>
      <c r="J148" t="inlineStr">
        <is>
          <t>1.3.1.2</t>
        </is>
      </c>
      <c r="K148" s="2" t="inlineStr">
        <is>
          <t>동일 브랜치 최종 버전, 미해결: CVE-2023-45853; 최신 버전에도 미해결: CVE-2026-27171; 버전 목록 출처: NVD CPE</t>
        </is>
      </c>
      <c r="L148" t="inlineStr">
        <is>
          <t>NVD</t>
        </is>
      </c>
      <c r="M148" t="inlineStr">
        <is>
          <t>2026-10-10T15:04:38+09:00</t>
        </is>
      </c>
    </row>
    <row r="149">
      <c r="A149" t="inlineStr">
        <is>
          <t>245</t>
        </is>
      </c>
      <c r="B149" t="inlineStr">
        <is>
          <t>zlib</t>
        </is>
      </c>
      <c r="C149" t="inlineStr">
        <is>
          <t>1.2.5</t>
        </is>
      </c>
      <c r="D149" t="inlineStr">
        <is>
          <t>CVE-2023-45853</t>
        </is>
      </c>
      <c r="E149" s="2" t="inlineStr">
        <is>
          <t>MiniZip in zlib through 1.3 has an integer overflow and resultant heap-based buffer overflow in zipOpenNewFileInZip4_64 via a long filename, comment, or extra field. NOTE: MiniZip is not a supported part of the zlib product. NOTE: pyminizip through 0.2.6 is also vulnerable because it bundles an affected zlib version, and exposes the applicable MiniZip code through its compress API.</t>
        </is>
      </c>
      <c r="F149" t="n">
        <v>9.800000000000001</v>
      </c>
      <c r="G149" s="5" t="inlineStr">
        <is>
          <t>CRITICAL</t>
        </is>
      </c>
      <c r="H149" s="2" t="inlineStr">
        <is>
          <t>&lt;1.3.1</t>
        </is>
      </c>
      <c r="I149" t="inlineStr">
        <is>
          <t>1.2.13</t>
        </is>
      </c>
      <c r="J149" t="inlineStr">
        <is>
          <t>1.3.1.2</t>
        </is>
      </c>
      <c r="K149" s="2" t="inlineStr">
        <is>
          <t>동일 브랜치 최종 버전, 미해결: CVE-2023-45853; 최신 버전에도 미해결: CVE-2026-27171; 버전 목록 출처: NVD CPE</t>
        </is>
      </c>
      <c r="L149" t="inlineStr">
        <is>
          <t>NVD</t>
        </is>
      </c>
      <c r="M149" t="inlineStr">
        <is>
          <t>2026-10-10T15:04:38+09:00</t>
        </is>
      </c>
    </row>
    <row r="150">
      <c r="A150" t="inlineStr">
        <is>
          <t>245</t>
        </is>
      </c>
      <c r="B150" t="inlineStr">
        <is>
          <t>zlib</t>
        </is>
      </c>
      <c r="C150" t="inlineStr">
        <is>
          <t>1.2.5</t>
        </is>
      </c>
      <c r="D150" t="inlineStr">
        <is>
          <t>CVE-2016-9840</t>
        </is>
      </c>
      <c r="E150" s="2" t="inlineStr">
        <is>
          <t>inftrees.c in zlib 1.2.8 might allow context-dependent attackers to have unspecified impact by leveraging improper pointer arithmetic.</t>
        </is>
      </c>
      <c r="F150" t="n">
        <v>8.800000000000001</v>
      </c>
      <c r="G150" s="3" t="inlineStr">
        <is>
          <t>HIGH</t>
        </is>
      </c>
      <c r="H150" s="2" t="inlineStr">
        <is>
          <t>&gt;=1.2.0.6, &lt;1.2.9</t>
        </is>
      </c>
      <c r="I150" t="inlineStr">
        <is>
          <t>1.2.13</t>
        </is>
      </c>
      <c r="J150" t="inlineStr">
        <is>
          <t>1.3.1.2</t>
        </is>
      </c>
      <c r="K150" s="2" t="inlineStr">
        <is>
          <t>동일 브랜치 최종 버전, 미해결: CVE-2023-45853; 최신 버전에도 미해결: CVE-2026-27171; 버전 목록 출처: NVD CPE</t>
        </is>
      </c>
      <c r="L150" t="inlineStr">
        <is>
          <t>NVD</t>
        </is>
      </c>
      <c r="M150" t="inlineStr">
        <is>
          <t>2026-10-10T15:04:38+09:00</t>
        </is>
      </c>
    </row>
    <row r="151">
      <c r="A151" t="inlineStr">
        <is>
          <t>245</t>
        </is>
      </c>
      <c r="B151" t="inlineStr">
        <is>
          <t>zlib</t>
        </is>
      </c>
      <c r="C151" t="inlineStr">
        <is>
          <t>1.2.5</t>
        </is>
      </c>
      <c r="D151" t="inlineStr">
        <is>
          <t>CVE-2016-9842</t>
        </is>
      </c>
      <c r="E151" s="2" t="inlineStr">
        <is>
          <t>The inflateMark function in inflate.c in zlib 1.2.8 might allow context-dependent attackers to have unspecified impact via vectors involving left shifts of negative integers.</t>
        </is>
      </c>
      <c r="F151" t="n">
        <v>8.800000000000001</v>
      </c>
      <c r="G151" s="3" t="inlineStr">
        <is>
          <t>HIGH</t>
        </is>
      </c>
      <c r="H151" s="2" t="inlineStr">
        <is>
          <t>&gt;=1.2.3.4, &lt;1.2.9</t>
        </is>
      </c>
      <c r="I151" t="inlineStr">
        <is>
          <t>1.2.13</t>
        </is>
      </c>
      <c r="J151" t="inlineStr">
        <is>
          <t>1.3.1.2</t>
        </is>
      </c>
      <c r="K151" s="2" t="inlineStr">
        <is>
          <t>동일 브랜치 최종 버전, 미해결: CVE-2023-45853; 최신 버전에도 미해결: CVE-2026-27171; 버전 목록 출처: NVD CPE</t>
        </is>
      </c>
      <c r="L151" t="inlineStr">
        <is>
          <t>NVD</t>
        </is>
      </c>
      <c r="M151" t="inlineStr">
        <is>
          <t>2026-10-10T15:04:38+09:00</t>
        </is>
      </c>
    </row>
    <row r="152">
      <c r="A152" t="inlineStr">
        <is>
          <t>245</t>
        </is>
      </c>
      <c r="B152" t="inlineStr">
        <is>
          <t>zlib</t>
        </is>
      </c>
      <c r="C152" t="inlineStr">
        <is>
          <t>1.2.5</t>
        </is>
      </c>
      <c r="D152" t="inlineStr">
        <is>
          <t>CVE-2018-25032</t>
        </is>
      </c>
      <c r="E152" s="2" t="inlineStr">
        <is>
          <t>zlib before 1.2.12 allows memory corruption when deflating (i.e., when compressing) if the input has many distant matches.</t>
        </is>
      </c>
      <c r="F152" t="n">
        <v>7.5</v>
      </c>
      <c r="G152" s="3" t="inlineStr">
        <is>
          <t>HIGH</t>
        </is>
      </c>
      <c r="H152" s="2" t="inlineStr">
        <is>
          <t>&gt;=1.2.2.2, &lt;1.2.12</t>
        </is>
      </c>
      <c r="I152" t="inlineStr">
        <is>
          <t>1.2.13</t>
        </is>
      </c>
      <c r="J152" t="inlineStr">
        <is>
          <t>1.3.1.2</t>
        </is>
      </c>
      <c r="K152" s="2" t="inlineStr">
        <is>
          <t>동일 브랜치 최종 버전, 미해결: CVE-2023-45853; 최신 버전에도 미해결: CVE-2026-27171; 버전 목록 출처: NVD CPE</t>
        </is>
      </c>
      <c r="L152" t="inlineStr">
        <is>
          <t>NVD</t>
        </is>
      </c>
      <c r="M152" t="inlineStr">
        <is>
          <t>2026-10-10T15:04:38+09:00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2026-10-10T06:11:57Z</dcterms:created>
  <dcterms:modified xsi:type="dcterms:W3CDTF">2026-10-10T06:11:57Z</dcterms:modified>
</cp:coreProperties>
</file>